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niel\Downloads\Investment analysis Projects\"/>
    </mc:Choice>
  </mc:AlternateContent>
  <xr:revisionPtr revIDLastSave="0" documentId="13_ncr:1_{8AA63E15-279E-498C-B364-8BD0AE753E2D}" xr6:coauthVersionLast="47" xr6:coauthVersionMax="47" xr10:uidLastSave="{00000000-0000-0000-0000-000000000000}"/>
  <bookViews>
    <workbookView xWindow="-120" yWindow="-120" windowWidth="29040" windowHeight="15720" firstSheet="3" activeTab="3" xr2:uid="{00000000-000D-0000-FFFF-FFFF00000000}"/>
  </bookViews>
  <sheets>
    <sheet name="(1) PROJECT STATEMENT" sheetId="14" r:id="rId1"/>
    <sheet name="(2) STATEMENT OF WORK" sheetId="9" r:id="rId2"/>
    <sheet name="(3)EXEC. SUMMARY&amp;RECOMMENDATION" sheetId="7" r:id="rId3"/>
    <sheet name="(4) ANALYSIS ASSUMPTIONS" sheetId="2" r:id="rId4"/>
    <sheet name="(5) AnalysisModel-AverageGrowth" sheetId="5" r:id="rId5"/>
    <sheet name="(6) Weak Economy" sheetId="11" r:id="rId6"/>
    <sheet name="(7) Strong Economy" sheetId="12" r:id="rId7"/>
  </sheets>
  <definedNames>
    <definedName name="_Fill" hidden="1">#REF!</definedName>
    <definedName name="_Order1" hidden="1">255</definedName>
    <definedName name="CLIN">#REF!</definedName>
    <definedName name="Florin">#REF!</definedName>
    <definedName name="hi">#REF!</definedName>
    <definedName name="PHARM">#REF!</definedName>
    <definedName name="Pound">#REF!</definedName>
    <definedName name="_xlnm.Print_Area" localSheetId="3">'(4) ANALYSIS ASSUMPTIONS'!$A$12:$F$34</definedName>
    <definedName name="swe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23" i="5" l="1"/>
  <c r="B118" i="5"/>
  <c r="B117" i="5"/>
  <c r="B106" i="5"/>
  <c r="B101" i="5"/>
  <c r="B100" i="5"/>
  <c r="B89" i="5"/>
  <c r="B84" i="5"/>
  <c r="B83" i="5"/>
  <c r="B72" i="5"/>
  <c r="B67" i="5"/>
  <c r="B66" i="5"/>
  <c r="B55" i="5"/>
  <c r="B50" i="5"/>
  <c r="B49" i="5"/>
  <c r="H129" i="5"/>
  <c r="G129" i="5"/>
  <c r="F129" i="5"/>
  <c r="I129" i="5" s="1"/>
  <c r="E129" i="5"/>
  <c r="D129" i="5"/>
  <c r="C129" i="5"/>
  <c r="B129" i="5"/>
  <c r="H127" i="5"/>
  <c r="G127" i="5"/>
  <c r="F127" i="5"/>
  <c r="E127" i="5"/>
  <c r="D127" i="5"/>
  <c r="C127" i="5"/>
  <c r="B127" i="5"/>
  <c r="I127" i="5" s="1"/>
  <c r="H120" i="5"/>
  <c r="G120" i="5"/>
  <c r="F120" i="5"/>
  <c r="E120" i="5"/>
  <c r="D120" i="5"/>
  <c r="C120" i="5"/>
  <c r="B120" i="5"/>
  <c r="I120" i="5" s="1"/>
  <c r="H112" i="5"/>
  <c r="G112" i="5"/>
  <c r="F112" i="5"/>
  <c r="I112" i="5" s="1"/>
  <c r="E112" i="5"/>
  <c r="D112" i="5"/>
  <c r="C112" i="5"/>
  <c r="B112" i="5"/>
  <c r="H110" i="5"/>
  <c r="G110" i="5"/>
  <c r="F110" i="5"/>
  <c r="E110" i="5"/>
  <c r="D110" i="5"/>
  <c r="C110" i="5"/>
  <c r="B110" i="5"/>
  <c r="I110" i="5" s="1"/>
  <c r="H103" i="5"/>
  <c r="G103" i="5"/>
  <c r="F103" i="5"/>
  <c r="E103" i="5"/>
  <c r="D103" i="5"/>
  <c r="C103" i="5"/>
  <c r="B103" i="5"/>
  <c r="B104" i="5" s="1"/>
  <c r="H95" i="5"/>
  <c r="G95" i="5"/>
  <c r="F95" i="5"/>
  <c r="I95" i="5" s="1"/>
  <c r="E95" i="5"/>
  <c r="D95" i="5"/>
  <c r="C95" i="5"/>
  <c r="B95" i="5"/>
  <c r="H93" i="5"/>
  <c r="G93" i="5"/>
  <c r="F93" i="5"/>
  <c r="E93" i="5"/>
  <c r="D93" i="5"/>
  <c r="C93" i="5"/>
  <c r="B93" i="5"/>
  <c r="I93" i="5" s="1"/>
  <c r="H86" i="5"/>
  <c r="G86" i="5"/>
  <c r="F86" i="5"/>
  <c r="E86" i="5"/>
  <c r="D86" i="5"/>
  <c r="C86" i="5"/>
  <c r="B86" i="5"/>
  <c r="H78" i="5"/>
  <c r="G78" i="5"/>
  <c r="F78" i="5"/>
  <c r="I78" i="5" s="1"/>
  <c r="E78" i="5"/>
  <c r="D78" i="5"/>
  <c r="C78" i="5"/>
  <c r="B78" i="5"/>
  <c r="H76" i="5"/>
  <c r="G76" i="5"/>
  <c r="F76" i="5"/>
  <c r="E76" i="5"/>
  <c r="D76" i="5"/>
  <c r="C76" i="5"/>
  <c r="B76" i="5"/>
  <c r="I76" i="5" s="1"/>
  <c r="C72" i="5"/>
  <c r="H69" i="5"/>
  <c r="G69" i="5"/>
  <c r="F69" i="5"/>
  <c r="E69" i="5"/>
  <c r="D69" i="5"/>
  <c r="C69" i="5"/>
  <c r="B69" i="5"/>
  <c r="I69" i="5" s="1"/>
  <c r="H61" i="5"/>
  <c r="G61" i="5"/>
  <c r="F61" i="5"/>
  <c r="I61" i="5" s="1"/>
  <c r="E61" i="5"/>
  <c r="D61" i="5"/>
  <c r="C61" i="5"/>
  <c r="B61" i="5"/>
  <c r="H59" i="5"/>
  <c r="G59" i="5"/>
  <c r="F59" i="5"/>
  <c r="E59" i="5"/>
  <c r="D59" i="5"/>
  <c r="C59" i="5"/>
  <c r="B59" i="5"/>
  <c r="I59" i="5" s="1"/>
  <c r="B56" i="5"/>
  <c r="H52" i="5"/>
  <c r="G52" i="5"/>
  <c r="F52" i="5"/>
  <c r="E52" i="5"/>
  <c r="D52" i="5"/>
  <c r="C52" i="5"/>
  <c r="B52" i="5"/>
  <c r="I52" i="5" s="1"/>
  <c r="B51" i="5"/>
  <c r="C41" i="5"/>
  <c r="D41" i="5"/>
  <c r="E41" i="5"/>
  <c r="F41" i="5"/>
  <c r="G41" i="5"/>
  <c r="H41" i="5"/>
  <c r="B41" i="5"/>
  <c r="B90" i="5" l="1"/>
  <c r="B121" i="5"/>
  <c r="B119" i="5"/>
  <c r="B124" i="5"/>
  <c r="C117" i="5"/>
  <c r="D117" i="5" s="1"/>
  <c r="E117" i="5" s="1"/>
  <c r="F117" i="5" s="1"/>
  <c r="G117" i="5" s="1"/>
  <c r="H117" i="5" s="1"/>
  <c r="H121" i="5" s="1"/>
  <c r="C118" i="5"/>
  <c r="C123" i="5"/>
  <c r="C100" i="5"/>
  <c r="D100" i="5" s="1"/>
  <c r="E100" i="5" s="1"/>
  <c r="F100" i="5" s="1"/>
  <c r="G100" i="5" s="1"/>
  <c r="H100" i="5" s="1"/>
  <c r="H104" i="5" s="1"/>
  <c r="I103" i="5"/>
  <c r="B102" i="5"/>
  <c r="B107" i="5"/>
  <c r="C101" i="5"/>
  <c r="C106" i="5"/>
  <c r="C83" i="5"/>
  <c r="D83" i="5" s="1"/>
  <c r="E83" i="5" s="1"/>
  <c r="F83" i="5" s="1"/>
  <c r="G83" i="5" s="1"/>
  <c r="H83" i="5" s="1"/>
  <c r="H87" i="5" s="1"/>
  <c r="B85" i="5"/>
  <c r="B87" i="5"/>
  <c r="D87" i="5"/>
  <c r="E87" i="5"/>
  <c r="F87" i="5"/>
  <c r="G87" i="5"/>
  <c r="C84" i="5"/>
  <c r="C89" i="5"/>
  <c r="I86" i="5"/>
  <c r="D72" i="5"/>
  <c r="B70" i="5"/>
  <c r="B68" i="5"/>
  <c r="B73" i="5"/>
  <c r="C66" i="5"/>
  <c r="D66" i="5" s="1"/>
  <c r="E66" i="5" s="1"/>
  <c r="F66" i="5" s="1"/>
  <c r="G66" i="5" s="1"/>
  <c r="H66" i="5" s="1"/>
  <c r="H70" i="5" s="1"/>
  <c r="C67" i="5"/>
  <c r="B53" i="5"/>
  <c r="C49" i="5"/>
  <c r="D49" i="5" s="1"/>
  <c r="E49" i="5" s="1"/>
  <c r="F49" i="5" s="1"/>
  <c r="G49" i="5" s="1"/>
  <c r="H49" i="5" s="1"/>
  <c r="H53" i="5" s="1"/>
  <c r="C50" i="5"/>
  <c r="C55" i="5"/>
  <c r="E70" i="5" l="1"/>
  <c r="E53" i="5"/>
  <c r="C53" i="5"/>
  <c r="D53" i="5"/>
  <c r="I49" i="5"/>
  <c r="G53" i="5"/>
  <c r="F53" i="5"/>
  <c r="C119" i="5"/>
  <c r="D118" i="5"/>
  <c r="I117" i="5"/>
  <c r="B122" i="5"/>
  <c r="C121" i="5"/>
  <c r="C122" i="5" s="1"/>
  <c r="G121" i="5"/>
  <c r="E121" i="5"/>
  <c r="F121" i="5"/>
  <c r="C124" i="5"/>
  <c r="D123" i="5"/>
  <c r="D121" i="5"/>
  <c r="C107" i="5"/>
  <c r="D106" i="5"/>
  <c r="C104" i="5"/>
  <c r="D101" i="5"/>
  <c r="C102" i="5"/>
  <c r="F104" i="5"/>
  <c r="B105" i="5"/>
  <c r="I100" i="5"/>
  <c r="G104" i="5"/>
  <c r="D104" i="5"/>
  <c r="E104" i="5"/>
  <c r="C85" i="5"/>
  <c r="D84" i="5"/>
  <c r="C90" i="5"/>
  <c r="D89" i="5"/>
  <c r="B88" i="5"/>
  <c r="C87" i="5"/>
  <c r="C88" i="5" s="1"/>
  <c r="I83" i="5"/>
  <c r="C68" i="5"/>
  <c r="D67" i="5"/>
  <c r="B71" i="5"/>
  <c r="C70" i="5"/>
  <c r="C71" i="5" s="1"/>
  <c r="I66" i="5"/>
  <c r="G70" i="5"/>
  <c r="F70" i="5"/>
  <c r="D70" i="5"/>
  <c r="C73" i="5"/>
  <c r="E72" i="5"/>
  <c r="D73" i="5"/>
  <c r="C54" i="5"/>
  <c r="C56" i="5"/>
  <c r="D55" i="5"/>
  <c r="C51" i="5"/>
  <c r="D50" i="5"/>
  <c r="I53" i="5"/>
  <c r="B54" i="5"/>
  <c r="E123" i="5" l="1"/>
  <c r="D124" i="5"/>
  <c r="B126" i="5"/>
  <c r="B125" i="5"/>
  <c r="E118" i="5"/>
  <c r="D119" i="5"/>
  <c r="D122" i="5"/>
  <c r="C126" i="5"/>
  <c r="C125" i="5"/>
  <c r="C128" i="5" s="1"/>
  <c r="C130" i="5" s="1"/>
  <c r="C131" i="5" s="1"/>
  <c r="I121" i="5"/>
  <c r="D102" i="5"/>
  <c r="E101" i="5"/>
  <c r="E106" i="5"/>
  <c r="D107" i="5"/>
  <c r="C105" i="5"/>
  <c r="I104" i="5"/>
  <c r="D105" i="5"/>
  <c r="B109" i="5"/>
  <c r="B108" i="5"/>
  <c r="C92" i="5"/>
  <c r="C91" i="5"/>
  <c r="D90" i="5"/>
  <c r="E89" i="5"/>
  <c r="B92" i="5"/>
  <c r="B91" i="5"/>
  <c r="I87" i="5"/>
  <c r="D85" i="5"/>
  <c r="E84" i="5"/>
  <c r="B74" i="5"/>
  <c r="B75" i="5"/>
  <c r="D68" i="5"/>
  <c r="E67" i="5"/>
  <c r="E73" i="5"/>
  <c r="F72" i="5"/>
  <c r="D71" i="5"/>
  <c r="C75" i="5"/>
  <c r="C74" i="5"/>
  <c r="C77" i="5" s="1"/>
  <c r="C79" i="5" s="1"/>
  <c r="C80" i="5" s="1"/>
  <c r="I70" i="5"/>
  <c r="C58" i="5"/>
  <c r="C57" i="5"/>
  <c r="B57" i="5"/>
  <c r="B58" i="5"/>
  <c r="D51" i="5"/>
  <c r="D54" i="5" s="1"/>
  <c r="E50" i="5"/>
  <c r="D56" i="5"/>
  <c r="E55" i="5"/>
  <c r="C94" i="5" l="1"/>
  <c r="C96" i="5" s="1"/>
  <c r="C97" i="5" s="1"/>
  <c r="B128" i="5"/>
  <c r="D126" i="5"/>
  <c r="D125" i="5"/>
  <c r="D128" i="5" s="1"/>
  <c r="D130" i="5" s="1"/>
  <c r="D131" i="5" s="1"/>
  <c r="E119" i="5"/>
  <c r="E122" i="5" s="1"/>
  <c r="F118" i="5"/>
  <c r="E124" i="5"/>
  <c r="F123" i="5"/>
  <c r="B111" i="5"/>
  <c r="E107" i="5"/>
  <c r="F106" i="5"/>
  <c r="D108" i="5"/>
  <c r="D109" i="5"/>
  <c r="C108" i="5"/>
  <c r="C109" i="5"/>
  <c r="E102" i="5"/>
  <c r="E105" i="5" s="1"/>
  <c r="F101" i="5"/>
  <c r="E85" i="5"/>
  <c r="E88" i="5" s="1"/>
  <c r="F84" i="5"/>
  <c r="D88" i="5"/>
  <c r="B94" i="5"/>
  <c r="E90" i="5"/>
  <c r="F89" i="5"/>
  <c r="D75" i="5"/>
  <c r="D74" i="5"/>
  <c r="D77" i="5" s="1"/>
  <c r="D79" i="5" s="1"/>
  <c r="D80" i="5" s="1"/>
  <c r="G72" i="5"/>
  <c r="F73" i="5"/>
  <c r="E68" i="5"/>
  <c r="E71" i="5" s="1"/>
  <c r="F67" i="5"/>
  <c r="B77" i="5"/>
  <c r="E56" i="5"/>
  <c r="F55" i="5"/>
  <c r="E51" i="5"/>
  <c r="F50" i="5"/>
  <c r="D57" i="5"/>
  <c r="D58" i="5"/>
  <c r="B60" i="5"/>
  <c r="C60" i="5"/>
  <c r="C62" i="5" s="1"/>
  <c r="C63" i="5" s="1"/>
  <c r="C111" i="5" l="1"/>
  <c r="C113" i="5" s="1"/>
  <c r="C114" i="5" s="1"/>
  <c r="D111" i="5"/>
  <c r="D113" i="5" s="1"/>
  <c r="D114" i="5" s="1"/>
  <c r="G123" i="5"/>
  <c r="F124" i="5"/>
  <c r="E125" i="5"/>
  <c r="E126" i="5"/>
  <c r="G118" i="5"/>
  <c r="F119" i="5"/>
  <c r="F122" i="5" s="1"/>
  <c r="B130" i="5"/>
  <c r="E109" i="5"/>
  <c r="E108" i="5"/>
  <c r="E111" i="5" s="1"/>
  <c r="E113" i="5" s="1"/>
  <c r="E114" i="5" s="1"/>
  <c r="F107" i="5"/>
  <c r="G106" i="5"/>
  <c r="B113" i="5"/>
  <c r="F102" i="5"/>
  <c r="F105" i="5" s="1"/>
  <c r="G101" i="5"/>
  <c r="G89" i="5"/>
  <c r="F90" i="5"/>
  <c r="B96" i="5"/>
  <c r="D92" i="5"/>
  <c r="D91" i="5"/>
  <c r="G84" i="5"/>
  <c r="F85" i="5"/>
  <c r="E92" i="5"/>
  <c r="E91" i="5"/>
  <c r="E94" i="5" s="1"/>
  <c r="E96" i="5" s="1"/>
  <c r="E97" i="5" s="1"/>
  <c r="B79" i="5"/>
  <c r="G67" i="5"/>
  <c r="F68" i="5"/>
  <c r="E75" i="5"/>
  <c r="E74" i="5"/>
  <c r="H72" i="5"/>
  <c r="H73" i="5" s="1"/>
  <c r="G73" i="5"/>
  <c r="I72" i="5"/>
  <c r="B62" i="5"/>
  <c r="D60" i="5"/>
  <c r="D62" i="5" s="1"/>
  <c r="D63" i="5" s="1"/>
  <c r="G50" i="5"/>
  <c r="F51" i="5"/>
  <c r="F54" i="5" s="1"/>
  <c r="E54" i="5"/>
  <c r="G55" i="5"/>
  <c r="F56" i="5"/>
  <c r="E128" i="5" l="1"/>
  <c r="E130" i="5" s="1"/>
  <c r="E131" i="5" s="1"/>
  <c r="H123" i="5"/>
  <c r="G124" i="5"/>
  <c r="B131" i="5"/>
  <c r="F126" i="5"/>
  <c r="F125" i="5"/>
  <c r="H118" i="5"/>
  <c r="H119" i="5" s="1"/>
  <c r="G119" i="5"/>
  <c r="G122" i="5" s="1"/>
  <c r="I118" i="5"/>
  <c r="F108" i="5"/>
  <c r="F109" i="5"/>
  <c r="H106" i="5"/>
  <c r="H107" i="5" s="1"/>
  <c r="G107" i="5"/>
  <c r="I106" i="5"/>
  <c r="G102" i="5"/>
  <c r="G105" i="5" s="1"/>
  <c r="H101" i="5"/>
  <c r="B114" i="5"/>
  <c r="I107" i="5"/>
  <c r="D94" i="5"/>
  <c r="H89" i="5"/>
  <c r="G90" i="5"/>
  <c r="F88" i="5"/>
  <c r="H84" i="5"/>
  <c r="H85" i="5" s="1"/>
  <c r="H88" i="5" s="1"/>
  <c r="G85" i="5"/>
  <c r="G88" i="5" s="1"/>
  <c r="I84" i="5"/>
  <c r="B97" i="5"/>
  <c r="I73" i="5"/>
  <c r="F71" i="5"/>
  <c r="H67" i="5"/>
  <c r="H68" i="5" s="1"/>
  <c r="H71" i="5" s="1"/>
  <c r="G68" i="5"/>
  <c r="G71" i="5" s="1"/>
  <c r="B80" i="5"/>
  <c r="E77" i="5"/>
  <c r="G56" i="5"/>
  <c r="H55" i="5"/>
  <c r="E58" i="5"/>
  <c r="E57" i="5"/>
  <c r="G51" i="5"/>
  <c r="G54" i="5" s="1"/>
  <c r="H50" i="5"/>
  <c r="H51" i="5" s="1"/>
  <c r="I50" i="5"/>
  <c r="F58" i="5"/>
  <c r="F57" i="5"/>
  <c r="B63" i="5"/>
  <c r="I67" i="5" l="1"/>
  <c r="F60" i="5"/>
  <c r="F62" i="5" s="1"/>
  <c r="F63" i="5" s="1"/>
  <c r="H122" i="5"/>
  <c r="I119" i="5"/>
  <c r="G126" i="5"/>
  <c r="G125" i="5"/>
  <c r="I122" i="5"/>
  <c r="F128" i="5"/>
  <c r="H124" i="5"/>
  <c r="I124" i="5" s="1"/>
  <c r="I123" i="5"/>
  <c r="G109" i="5"/>
  <c r="G108" i="5"/>
  <c r="G111" i="5" s="1"/>
  <c r="G113" i="5" s="1"/>
  <c r="G114" i="5" s="1"/>
  <c r="H102" i="5"/>
  <c r="I101" i="5"/>
  <c r="F111" i="5"/>
  <c r="G92" i="5"/>
  <c r="G91" i="5"/>
  <c r="G94" i="5" s="1"/>
  <c r="G96" i="5" s="1"/>
  <c r="G97" i="5" s="1"/>
  <c r="F92" i="5"/>
  <c r="F91" i="5"/>
  <c r="I88" i="5"/>
  <c r="H92" i="5"/>
  <c r="I85" i="5"/>
  <c r="H90" i="5"/>
  <c r="I90" i="5" s="1"/>
  <c r="I89" i="5"/>
  <c r="D96" i="5"/>
  <c r="E79" i="5"/>
  <c r="G75" i="5"/>
  <c r="G74" i="5"/>
  <c r="H75" i="5"/>
  <c r="H74" i="5"/>
  <c r="H77" i="5" s="1"/>
  <c r="H79" i="5" s="1"/>
  <c r="H80" i="5" s="1"/>
  <c r="I68" i="5"/>
  <c r="F74" i="5"/>
  <c r="F75" i="5"/>
  <c r="I75" i="5" s="1"/>
  <c r="I71" i="5"/>
  <c r="G58" i="5"/>
  <c r="G57" i="5"/>
  <c r="G60" i="5" s="1"/>
  <c r="G62" i="5" s="1"/>
  <c r="G63" i="5" s="1"/>
  <c r="H54" i="5"/>
  <c r="I54" i="5" s="1"/>
  <c r="I51" i="5"/>
  <c r="E60" i="5"/>
  <c r="H56" i="5"/>
  <c r="I56" i="5" s="1"/>
  <c r="I55" i="5"/>
  <c r="G128" i="5" l="1"/>
  <c r="G130" i="5" s="1"/>
  <c r="G131" i="5" s="1"/>
  <c r="G77" i="5"/>
  <c r="G79" i="5" s="1"/>
  <c r="G80" i="5" s="1"/>
  <c r="F130" i="5"/>
  <c r="H125" i="5"/>
  <c r="H126" i="5"/>
  <c r="I126" i="5" s="1"/>
  <c r="H105" i="5"/>
  <c r="I102" i="5"/>
  <c r="F113" i="5"/>
  <c r="D97" i="5"/>
  <c r="H91" i="5"/>
  <c r="H94" i="5" s="1"/>
  <c r="H96" i="5" s="1"/>
  <c r="H97" i="5" s="1"/>
  <c r="F94" i="5"/>
  <c r="I91" i="5"/>
  <c r="I92" i="5"/>
  <c r="F77" i="5"/>
  <c r="I74" i="5"/>
  <c r="E80" i="5"/>
  <c r="E62" i="5"/>
  <c r="H58" i="5"/>
  <c r="I58" i="5" s="1"/>
  <c r="H57" i="5"/>
  <c r="H128" i="5" l="1"/>
  <c r="I125" i="5"/>
  <c r="F131" i="5"/>
  <c r="F114" i="5"/>
  <c r="H109" i="5"/>
  <c r="I109" i="5" s="1"/>
  <c r="H108" i="5"/>
  <c r="I105" i="5"/>
  <c r="F96" i="5"/>
  <c r="I94" i="5"/>
  <c r="F79" i="5"/>
  <c r="I77" i="5"/>
  <c r="H60" i="5"/>
  <c r="I57" i="5"/>
  <c r="E63" i="5"/>
  <c r="H130" i="5" l="1"/>
  <c r="I128" i="5"/>
  <c r="H111" i="5"/>
  <c r="I108" i="5"/>
  <c r="F97" i="5"/>
  <c r="I97" i="5" s="1"/>
  <c r="I96" i="5"/>
  <c r="F80" i="5"/>
  <c r="I80" i="5" s="1"/>
  <c r="I79" i="5"/>
  <c r="H62" i="5"/>
  <c r="I60" i="5"/>
  <c r="H131" i="5" l="1"/>
  <c r="I131" i="5" s="1"/>
  <c r="I130" i="5"/>
  <c r="H113" i="5"/>
  <c r="I111" i="5"/>
  <c r="H63" i="5"/>
  <c r="I63" i="5" s="1"/>
  <c r="I62" i="5"/>
  <c r="H114" i="5" l="1"/>
  <c r="I114" i="5" s="1"/>
  <c r="I113" i="5"/>
  <c r="I33" i="5" l="1"/>
  <c r="I34" i="5"/>
  <c r="I35" i="5"/>
  <c r="I36" i="5"/>
  <c r="I37" i="5"/>
  <c r="I38" i="5"/>
  <c r="I39" i="5"/>
  <c r="I40" i="5"/>
  <c r="I41" i="5"/>
  <c r="I42" i="5"/>
  <c r="I44" i="5"/>
  <c r="I32" i="5"/>
  <c r="C40" i="5"/>
  <c r="D40" i="5"/>
  <c r="E40" i="5"/>
  <c r="E43" i="5" s="1"/>
  <c r="E45" i="5" s="1"/>
  <c r="E46" i="5" s="1"/>
  <c r="F40" i="5"/>
  <c r="F43" i="5" s="1"/>
  <c r="F45" i="5" s="1"/>
  <c r="F46" i="5" s="1"/>
  <c r="G40" i="5"/>
  <c r="G43" i="5" s="1"/>
  <c r="G45" i="5" s="1"/>
  <c r="G46" i="5" s="1"/>
  <c r="H40" i="5"/>
  <c r="H43" i="5" s="1"/>
  <c r="H45" i="5" s="1"/>
  <c r="H46" i="5" s="1"/>
  <c r="C42" i="5"/>
  <c r="D42" i="5"/>
  <c r="E42" i="5"/>
  <c r="F42" i="5"/>
  <c r="G42" i="5"/>
  <c r="H42" i="5"/>
  <c r="C43" i="5"/>
  <c r="C45" i="5" s="1"/>
  <c r="C46" i="5" s="1"/>
  <c r="D43" i="5"/>
  <c r="D45" i="5" s="1"/>
  <c r="D46" i="5" s="1"/>
  <c r="C44" i="5"/>
  <c r="D44" i="5"/>
  <c r="E44" i="5"/>
  <c r="F44" i="5"/>
  <c r="G44" i="5"/>
  <c r="H44" i="5"/>
  <c r="B45" i="5"/>
  <c r="B43" i="5"/>
  <c r="B40" i="5"/>
  <c r="C37" i="5"/>
  <c r="D37" i="5"/>
  <c r="E37" i="5"/>
  <c r="F37" i="5"/>
  <c r="G37" i="5"/>
  <c r="H37" i="5"/>
  <c r="C39" i="5"/>
  <c r="D39" i="5"/>
  <c r="E39" i="5"/>
  <c r="F39" i="5"/>
  <c r="G39" i="5"/>
  <c r="H39" i="5"/>
  <c r="B39" i="5"/>
  <c r="B37" i="5"/>
  <c r="C36" i="5"/>
  <c r="D36" i="5"/>
  <c r="E36" i="5"/>
  <c r="F36" i="5"/>
  <c r="G36" i="5"/>
  <c r="H36" i="5"/>
  <c r="B36" i="5"/>
  <c r="C34" i="5"/>
  <c r="D34" i="5"/>
  <c r="E34" i="5"/>
  <c r="F34" i="5"/>
  <c r="G34" i="5"/>
  <c r="H34" i="5"/>
  <c r="C35" i="5"/>
  <c r="D35" i="5"/>
  <c r="E35" i="5"/>
  <c r="F35" i="5"/>
  <c r="G35" i="5"/>
  <c r="H35" i="5"/>
  <c r="B35" i="5"/>
  <c r="B34" i="5"/>
  <c r="D32" i="5"/>
  <c r="E32" i="5" s="1"/>
  <c r="F32" i="5" s="1"/>
  <c r="G32" i="5" s="1"/>
  <c r="H32" i="5" s="1"/>
  <c r="D33" i="5"/>
  <c r="E33" i="5" s="1"/>
  <c r="F33" i="5" s="1"/>
  <c r="G33" i="5" s="1"/>
  <c r="H33" i="5" s="1"/>
  <c r="D38" i="5"/>
  <c r="E38" i="5"/>
  <c r="F38" i="5" s="1"/>
  <c r="G38" i="5" s="1"/>
  <c r="H38" i="5" s="1"/>
  <c r="C38" i="5"/>
  <c r="C33" i="5"/>
  <c r="C32" i="5"/>
  <c r="I29" i="5"/>
  <c r="B44" i="5"/>
  <c r="B42" i="5"/>
  <c r="B38" i="5"/>
  <c r="B33" i="5"/>
  <c r="B32" i="5"/>
  <c r="C22" i="5"/>
  <c r="D22" i="5"/>
  <c r="E22" i="5"/>
  <c r="F22" i="5"/>
  <c r="G22" i="5"/>
  <c r="H22" i="5"/>
  <c r="C23" i="5"/>
  <c r="C26" i="5" s="1"/>
  <c r="C28" i="5" s="1"/>
  <c r="C29" i="5" s="1"/>
  <c r="D23" i="5"/>
  <c r="D26" i="5" s="1"/>
  <c r="D28" i="5" s="1"/>
  <c r="D29" i="5" s="1"/>
  <c r="E23" i="5"/>
  <c r="E26" i="5" s="1"/>
  <c r="E28" i="5" s="1"/>
  <c r="E29" i="5" s="1"/>
  <c r="F23" i="5"/>
  <c r="F26" i="5" s="1"/>
  <c r="F28" i="5" s="1"/>
  <c r="F29" i="5" s="1"/>
  <c r="G23" i="5"/>
  <c r="G26" i="5" s="1"/>
  <c r="G28" i="5" s="1"/>
  <c r="G29" i="5" s="1"/>
  <c r="H23" i="5"/>
  <c r="H26" i="5" s="1"/>
  <c r="H28" i="5" s="1"/>
  <c r="H29" i="5" s="1"/>
  <c r="C24" i="5"/>
  <c r="D24" i="5"/>
  <c r="E24" i="5"/>
  <c r="F24" i="5"/>
  <c r="G24" i="5"/>
  <c r="H24" i="5"/>
  <c r="C25" i="5"/>
  <c r="D25" i="5"/>
  <c r="E25" i="5"/>
  <c r="F25" i="5"/>
  <c r="G25" i="5"/>
  <c r="H25" i="5"/>
  <c r="C27" i="5"/>
  <c r="D27" i="5"/>
  <c r="E27" i="5"/>
  <c r="F27" i="5"/>
  <c r="G27" i="5"/>
  <c r="H27" i="5"/>
  <c r="D15" i="5"/>
  <c r="E15" i="5"/>
  <c r="E19" i="5" s="1"/>
  <c r="E20" i="5" s="1"/>
  <c r="F15" i="5"/>
  <c r="G15" i="5" s="1"/>
  <c r="C15" i="5"/>
  <c r="C17" i="5"/>
  <c r="D17" i="5"/>
  <c r="E17" i="5"/>
  <c r="F17" i="5"/>
  <c r="C18" i="5"/>
  <c r="D18" i="5"/>
  <c r="E18" i="5"/>
  <c r="F18" i="5"/>
  <c r="G18" i="5"/>
  <c r="H18" i="5"/>
  <c r="C19" i="5"/>
  <c r="D19" i="5"/>
  <c r="D20" i="5" s="1"/>
  <c r="C20" i="5"/>
  <c r="D21" i="5"/>
  <c r="E21" i="5"/>
  <c r="F21" i="5"/>
  <c r="G21" i="5" s="1"/>
  <c r="H21" i="5" s="1"/>
  <c r="D16" i="5"/>
  <c r="E16" i="5"/>
  <c r="F16" i="5"/>
  <c r="G16" i="5"/>
  <c r="H16" i="5"/>
  <c r="C16" i="5"/>
  <c r="C21" i="5"/>
  <c r="B27" i="5"/>
  <c r="B25" i="5"/>
  <c r="B21" i="5"/>
  <c r="I45" i="5" l="1"/>
  <c r="I43" i="5"/>
  <c r="G19" i="5"/>
  <c r="H15" i="5"/>
  <c r="G17" i="5"/>
  <c r="F19" i="5"/>
  <c r="F20" i="5" s="1"/>
  <c r="B18" i="5"/>
  <c r="B16" i="5"/>
  <c r="B15" i="5"/>
  <c r="I16" i="5"/>
  <c r="I18" i="5"/>
  <c r="I21" i="5"/>
  <c r="I25" i="5"/>
  <c r="I27" i="5"/>
  <c r="I15" i="5"/>
  <c r="H19" i="5" l="1"/>
  <c r="H17" i="5"/>
  <c r="G20" i="5"/>
  <c r="B14" i="2"/>
  <c r="H20" i="5" l="1"/>
  <c r="B134" i="5"/>
  <c r="B22" i="5"/>
  <c r="I22" i="5" s="1"/>
  <c r="B19" i="5"/>
  <c r="I19" i="5" s="1"/>
  <c r="B1" i="5"/>
  <c r="B35" i="2"/>
  <c r="B36" i="2"/>
  <c r="B34" i="2"/>
  <c r="A35" i="2"/>
  <c r="A36" i="2"/>
  <c r="A34" i="2"/>
  <c r="B20" i="5" l="1"/>
  <c r="I20" i="5" s="1"/>
  <c r="B23" i="5" l="1"/>
  <c r="I23" i="5" s="1"/>
  <c r="B24" i="5"/>
  <c r="I24" i="5" s="1"/>
  <c r="B26" i="5" l="1"/>
  <c r="I26" i="5" s="1"/>
  <c r="B46" i="5"/>
  <c r="I46" i="5" s="1"/>
  <c r="C134" i="5"/>
  <c r="D134" i="5"/>
  <c r="E134" i="5"/>
  <c r="F134" i="5"/>
  <c r="G134" i="5"/>
  <c r="H134" i="5"/>
  <c r="B28" i="5" l="1"/>
  <c r="I28" i="5" s="1"/>
  <c r="B5" i="5"/>
  <c r="B6" i="5" s="1"/>
  <c r="B10" i="5"/>
  <c r="B8" i="5"/>
  <c r="B9" i="5"/>
  <c r="B2" i="5"/>
  <c r="B3" i="5"/>
  <c r="B11" i="5"/>
  <c r="A41" i="5"/>
  <c r="A58" i="5" s="1"/>
  <c r="A75" i="5" s="1"/>
  <c r="A92" i="5" s="1"/>
  <c r="A109" i="5" s="1"/>
  <c r="A126" i="5" s="1"/>
  <c r="A38" i="5"/>
  <c r="A55" i="5" s="1"/>
  <c r="A72" i="5" s="1"/>
  <c r="A89" i="5" s="1"/>
  <c r="A106" i="5" s="1"/>
  <c r="A123" i="5" s="1"/>
  <c r="D16" i="2"/>
  <c r="F16" i="2" s="1"/>
  <c r="A31" i="5"/>
  <c r="A48" i="5" s="1"/>
  <c r="A65" i="5" s="1"/>
  <c r="A82" i="5" s="1"/>
  <c r="A99" i="5" s="1"/>
  <c r="A116" i="5" s="1"/>
  <c r="D19" i="2"/>
  <c r="D21" i="2"/>
  <c r="D22" i="2"/>
  <c r="D20" i="2"/>
  <c r="D18" i="2"/>
  <c r="D17" i="2"/>
  <c r="F17" i="2"/>
  <c r="F22" i="2"/>
  <c r="F21" i="2"/>
  <c r="B135" i="5" l="1"/>
  <c r="F20" i="2"/>
  <c r="F19" i="2"/>
  <c r="F18" i="2"/>
  <c r="B17" i="5"/>
  <c r="I17" i="5" s="1"/>
  <c r="I134" i="5" l="1"/>
  <c r="B141" i="5" l="1"/>
  <c r="F8" i="7" l="1"/>
  <c r="B133" i="5"/>
  <c r="C133" i="5"/>
  <c r="E133" i="5" l="1"/>
  <c r="D133" i="5"/>
  <c r="B29" i="5"/>
  <c r="C135" i="5" l="1"/>
  <c r="C136" i="5" s="1"/>
  <c r="B136" i="5"/>
  <c r="E135" i="5"/>
  <c r="E136" i="5" s="1"/>
  <c r="D135" i="5"/>
  <c r="D136" i="5" s="1"/>
  <c r="D138" i="5" s="1"/>
  <c r="F133" i="5" l="1"/>
  <c r="E138" i="5"/>
  <c r="C138" i="5"/>
  <c r="G133" i="5" l="1"/>
  <c r="B138" i="5"/>
  <c r="H133" i="5"/>
  <c r="I133" i="5" s="1"/>
  <c r="F135" i="5" l="1"/>
  <c r="F136" i="5" s="1"/>
  <c r="G135" i="5" l="1"/>
  <c r="G136" i="5" s="1"/>
  <c r="H135" i="5"/>
  <c r="H136" i="5" s="1"/>
  <c r="I136" i="5" s="1"/>
  <c r="B140" i="5" l="1"/>
  <c r="B144" i="5" s="1"/>
  <c r="G138" i="5"/>
  <c r="F138" i="5" l="1"/>
  <c r="I135" i="5" l="1"/>
  <c r="C140" i="5" s="1"/>
  <c r="H138" i="5" l="1"/>
  <c r="B139" i="5" l="1"/>
  <c r="B142" i="5" s="1"/>
  <c r="I138" i="5"/>
  <c r="G8" i="7" l="1"/>
  <c r="H8" i="7" s="1"/>
  <c r="C139" i="5"/>
</calcChain>
</file>

<file path=xl/sharedStrings.xml><?xml version="1.0" encoding="utf-8"?>
<sst xmlns="http://schemas.openxmlformats.org/spreadsheetml/2006/main" count="275" uniqueCount="119">
  <si>
    <t>Year 1</t>
  </si>
  <si>
    <t>Year 2</t>
  </si>
  <si>
    <t>Year 3</t>
  </si>
  <si>
    <t>Year 4</t>
  </si>
  <si>
    <t>Year 5</t>
  </si>
  <si>
    <t>Year 6</t>
  </si>
  <si>
    <t>Selling Price</t>
  </si>
  <si>
    <t>Profit from Service and Parts per Car</t>
  </si>
  <si>
    <t>Price Increase (Each Year)</t>
  </si>
  <si>
    <t>Cost Increase (Each Year)</t>
  </si>
  <si>
    <t>Service and Parts Revenue per Car</t>
  </si>
  <si>
    <t>Service and Parts amortized over</t>
  </si>
  <si>
    <t>2 Series</t>
  </si>
  <si>
    <t>BMW 1 Series</t>
  </si>
  <si>
    <t>3 Series</t>
  </si>
  <si>
    <t>4 Series</t>
  </si>
  <si>
    <t>5 Series</t>
  </si>
  <si>
    <t>6 Series</t>
  </si>
  <si>
    <t>7 Series</t>
  </si>
  <si>
    <t>Units Sold</t>
  </si>
  <si>
    <t>Total Profit from 1 Series Cars Sold</t>
  </si>
  <si>
    <t>1 Series Units Sold</t>
  </si>
  <si>
    <t>2 Series Units Sold</t>
  </si>
  <si>
    <t>3 Series Units Sold</t>
  </si>
  <si>
    <t>4 Series Units Sold</t>
  </si>
  <si>
    <t>5 Series Units Sold</t>
  </si>
  <si>
    <t>6 Series Units Sold</t>
  </si>
  <si>
    <t>7 Series Units Sold</t>
  </si>
  <si>
    <t>Total Profit from 2 Series Cars Sold</t>
  </si>
  <si>
    <t>Total Profit from 3 Series Cars Sold</t>
  </si>
  <si>
    <t>Total Profit from 4 Series Cars Sold</t>
  </si>
  <si>
    <t>Total Profit from 5 Series Cars Sold</t>
  </si>
  <si>
    <t>Total Profit from 6 Series Cars Sold</t>
  </si>
  <si>
    <t>Total Profit from 7 Series Cars Sold</t>
  </si>
  <si>
    <t>SEDANS</t>
  </si>
  <si>
    <t>Total Units Sold</t>
  </si>
  <si>
    <t>Total Revenue</t>
  </si>
  <si>
    <t>Revenues From Auto Sales</t>
  </si>
  <si>
    <t>Revenues From Auto Maintnence</t>
  </si>
  <si>
    <t>Gross Profit</t>
  </si>
  <si>
    <t>Total Cost to Build and Sell</t>
  </si>
  <si>
    <t>Depreciation and Amortization</t>
  </si>
  <si>
    <t>Operating Income</t>
  </si>
  <si>
    <t>Interest Income</t>
  </si>
  <si>
    <t>Net Income</t>
  </si>
  <si>
    <t>Executive Summary and Recommendation</t>
  </si>
  <si>
    <t>Year 0</t>
  </si>
  <si>
    <t>Discount Rate</t>
  </si>
  <si>
    <t xml:space="preserve"> </t>
  </si>
  <si>
    <t>Years</t>
  </si>
  <si>
    <t>Interest Income/(Expense)</t>
  </si>
  <si>
    <t>Cost to Build and Sell (50%)</t>
  </si>
  <si>
    <t>PV of All Annual Cash Flows</t>
  </si>
  <si>
    <t>G&amp;A Expense Ratio</t>
  </si>
  <si>
    <t>Annual Depreciation Expense</t>
  </si>
  <si>
    <t>Annual Interest Income/Expense</t>
  </si>
  <si>
    <t xml:space="preserve">         PROJECT STATEMENT:</t>
  </si>
  <si>
    <t xml:space="preserve">        Analysis Assumptions:</t>
  </si>
  <si>
    <t>to determine the profit in terms of "Cash (PV) Profit Per Car Sold" for all the units sold over the next 6 years.</t>
  </si>
  <si>
    <t>Statement of Work</t>
  </si>
  <si>
    <t>Knowing the profit in terms of cash per car, the company can decide further on investing additional money in advertising.</t>
  </si>
  <si>
    <t>According to the information provided below, it's required that you build a financial business model</t>
  </si>
  <si>
    <t>You are required to build 3 models based on 3 business scenarios - Good Economy, Poor Economy, and Average Economy.</t>
  </si>
  <si>
    <t>7 Year Total</t>
  </si>
  <si>
    <r>
      <rPr>
        <b/>
        <sz val="14"/>
        <color rgb="FFC00000"/>
        <rFont val="Arial"/>
        <family val="2"/>
      </rPr>
      <t>Utilizing Regression Analytics</t>
    </r>
    <r>
      <rPr>
        <sz val="14"/>
        <color rgb="FFC00000"/>
        <rFont val="Arial"/>
        <family val="2"/>
      </rPr>
      <t>, based on the same customer base, how many units expected to be sold annually.</t>
    </r>
  </si>
  <si>
    <t>TOTAL GROSS PROFIT</t>
  </si>
  <si>
    <t>TOTAL DEPRECIATION &amp; AMORT. EXP.</t>
  </si>
  <si>
    <t>TOTAL CASH FLOW</t>
  </si>
  <si>
    <t>PROFIT PER CAR</t>
  </si>
  <si>
    <t>Dear All:</t>
  </si>
  <si>
    <t>The objective of this project is to determine the "present value of cash flow earned per car" and provide recommendation to the management of your findings.</t>
  </si>
  <si>
    <t>The project and analysis is Excel Financial Modeling over the 7-year period.</t>
  </si>
  <si>
    <t>into its showroom for the first time.</t>
  </si>
  <si>
    <t>Thank you.</t>
  </si>
  <si>
    <t>Please describe in 1-3 short paragraphs and few bullets in between on what this work is all about.</t>
  </si>
  <si>
    <t>This is an introduction of your work to someone (e.g., other Department Managers within the Company) who have received your report, but have no other information about your work at all</t>
  </si>
  <si>
    <t>Simply write information about your work, it's business assumptions, it's financial &amp; business importance, and how it would help the Marketing Managers make decision on the upcoming Advertising Programs.</t>
  </si>
  <si>
    <t>Please describe the summary of your work in 1-3 short paragraphs and few bullets in between on your analysis and findings.</t>
  </si>
  <si>
    <t>This could be in the form of small "Contingency Table" summarizing your work with numbers.</t>
  </si>
  <si>
    <t>Average Economy</t>
  </si>
  <si>
    <t>Poor Economy</t>
  </si>
  <si>
    <t>Economic Growth %</t>
  </si>
  <si>
    <t>Total PV Cash Flow</t>
  </si>
  <si>
    <t>PV Cash Flow/Car</t>
  </si>
  <si>
    <t>Current Year - Units Sold</t>
  </si>
  <si>
    <t>Average Case Scenario (5% Growth)</t>
  </si>
  <si>
    <t>Vehicle Sales Revenue Per Unit</t>
  </si>
  <si>
    <t>Vehicle Cost Per Unit</t>
  </si>
  <si>
    <r>
      <t xml:space="preserve">  Analysis: </t>
    </r>
    <r>
      <rPr>
        <sz val="13"/>
        <color theme="1"/>
        <rFont val="Arial"/>
        <family val="2"/>
      </rPr>
      <t>7-Year Model</t>
    </r>
  </si>
  <si>
    <t xml:space="preserve">  ** The same amount every year</t>
  </si>
  <si>
    <t xml:space="preserve">  ** Assumed at the same % every year</t>
  </si>
  <si>
    <t xml:space="preserve">  ** Assumed G&amp;A Expense at the same % of revenue every year</t>
  </si>
  <si>
    <t>Gross Profit Per Unit Sold</t>
  </si>
  <si>
    <t>PROJECT STATEMENT:</t>
  </si>
  <si>
    <t>The company plan to offer a new model next year called Z5 with the ticket price of $83,500.</t>
  </si>
  <si>
    <t>BUSINESS SCENARIO - AVERAGE GROWTH</t>
  </si>
  <si>
    <t>AVERAGE GROWTH</t>
  </si>
  <si>
    <t>Service and Parts Revenue per Car (7 Years)</t>
  </si>
  <si>
    <t>Service and Parts annually allocated</t>
  </si>
  <si>
    <t>G&amp;A Expense Ratio (% of Revenue)</t>
  </si>
  <si>
    <t>Assumed Constant</t>
  </si>
  <si>
    <t>This project will teach you tremendously on Excel skills before entering the business workplace in Corporate America.</t>
  </si>
  <si>
    <t>You are only allowed to input the data for modeling purpose via Tab # 4 ……. Assumption Page!</t>
  </si>
  <si>
    <t>Over the 7-Year Analysis Period</t>
  </si>
  <si>
    <t>Total Accounting Profit</t>
  </si>
  <si>
    <t>&lt;&lt; CHECKING</t>
  </si>
  <si>
    <t>TOTAL ACCOUNTING PROFIT</t>
  </si>
  <si>
    <t>KEY</t>
  </si>
  <si>
    <t>KEY 1</t>
  </si>
  <si>
    <t>Once you get one " 5% Growth Model" completed, you can complete the other 3% and 8% quickly by duplicating and replacing the 5% with 3% and 8%, respectively.</t>
  </si>
  <si>
    <t>When knowing how much the organization earns in terms of PV cash profit per car, the management can set advertising budget and decide on how much to spend to advertise to draw new customers</t>
  </si>
  <si>
    <t>You are not allowed to input any data into Tab # 5 because all input data should be linked to Tab # 4, the feeding sheet.</t>
  </si>
  <si>
    <t xml:space="preserve">         FINANCIAL MODELING:</t>
  </si>
  <si>
    <t>Determine the Correlation Coefficient between "Units Sold" vs. "Vehicle Price Per Unit"?</t>
  </si>
  <si>
    <t>Cash Flow (PV) Per Unit Sold</t>
  </si>
  <si>
    <t>PV of Annual Cash Flows</t>
  </si>
  <si>
    <t xml:space="preserve">        BMW U.S. Northeast Region Business Projection Fiscal 2022</t>
  </si>
  <si>
    <t>Strong Economy</t>
  </si>
  <si>
    <t>G&amp;A Expenses (13%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</si>
</sst>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 numFmtId="167" formatCode="&quot;$&quot;#,##0"/>
  </numFmts>
  <fonts count="35"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u/>
      <sz val="11"/>
      <color theme="1"/>
      <name val="Arial"/>
      <family val="2"/>
    </font>
    <font>
      <u/>
      <sz val="11"/>
      <color theme="1"/>
      <name val="Arial"/>
      <family val="2"/>
    </font>
    <font>
      <b/>
      <sz val="11"/>
      <color theme="4" tint="-0.249977111117893"/>
      <name val="Arial"/>
      <family val="2"/>
    </font>
    <font>
      <sz val="12"/>
      <color theme="1"/>
      <name val="Arial"/>
      <family val="2"/>
    </font>
    <font>
      <b/>
      <sz val="12"/>
      <color theme="1"/>
      <name val="Arial"/>
      <family val="2"/>
    </font>
    <font>
      <b/>
      <u/>
      <sz val="12"/>
      <color theme="1"/>
      <name val="Arial"/>
      <family val="2"/>
    </font>
    <font>
      <b/>
      <u/>
      <sz val="14"/>
      <color theme="1"/>
      <name val="Arial"/>
      <family val="2"/>
    </font>
    <font>
      <sz val="14"/>
      <color theme="1"/>
      <name val="Arial"/>
      <family val="2"/>
    </font>
    <font>
      <sz val="11"/>
      <color rgb="FFFF0000"/>
      <name val="Arial"/>
      <family val="2"/>
    </font>
    <font>
      <sz val="11"/>
      <color rgb="FFC00000"/>
      <name val="Arial"/>
      <family val="2"/>
    </font>
    <font>
      <b/>
      <i/>
      <sz val="11"/>
      <color theme="1"/>
      <name val="Arial"/>
      <family val="2"/>
    </font>
    <font>
      <b/>
      <sz val="14"/>
      <color theme="1"/>
      <name val="Arial"/>
      <family val="2"/>
    </font>
    <font>
      <b/>
      <u/>
      <sz val="18"/>
      <name val="Arial"/>
      <family val="2"/>
    </font>
    <font>
      <sz val="14"/>
      <color rgb="FFC00000"/>
      <name val="Arial"/>
      <family val="2"/>
    </font>
    <font>
      <sz val="10"/>
      <name val="Arial"/>
      <family val="2"/>
    </font>
    <font>
      <b/>
      <sz val="14"/>
      <color rgb="FFC00000"/>
      <name val="Arial"/>
      <family val="2"/>
    </font>
    <font>
      <b/>
      <sz val="11"/>
      <color rgb="FFFF0000"/>
      <name val="Arial"/>
      <family val="2"/>
    </font>
    <font>
      <b/>
      <sz val="11"/>
      <color rgb="FF0070C0"/>
      <name val="Arial"/>
      <family val="2"/>
    </font>
    <font>
      <sz val="10"/>
      <name val="Arial"/>
      <family val="2"/>
    </font>
    <font>
      <sz val="16"/>
      <color theme="1"/>
      <name val="Arial"/>
      <family val="2"/>
    </font>
    <font>
      <sz val="13"/>
      <color theme="1"/>
      <name val="Arial"/>
      <family val="2"/>
    </font>
    <font>
      <b/>
      <sz val="13"/>
      <color theme="1"/>
      <name val="Arial"/>
      <family val="2"/>
    </font>
    <font>
      <b/>
      <sz val="12"/>
      <color rgb="FFC00000"/>
      <name val="Arial"/>
      <family val="2"/>
    </font>
    <font>
      <b/>
      <u/>
      <sz val="18"/>
      <color theme="1"/>
      <name val="Arial"/>
      <family val="2"/>
    </font>
    <font>
      <b/>
      <sz val="16"/>
      <color theme="1"/>
      <name val="Arial"/>
      <family val="2"/>
    </font>
    <font>
      <b/>
      <sz val="13"/>
      <color theme="1"/>
      <name val="Calibri"/>
      <family val="2"/>
      <scheme val="minor"/>
    </font>
    <font>
      <b/>
      <sz val="11"/>
      <color rgb="FFC00000"/>
      <name val="Arial"/>
      <family val="2"/>
    </font>
    <font>
      <b/>
      <u/>
      <sz val="24"/>
      <color rgb="FFC00000"/>
      <name val="Arial"/>
      <family val="2"/>
    </font>
    <font>
      <sz val="11"/>
      <color theme="0"/>
      <name val="Arial"/>
      <family val="2"/>
    </font>
    <font>
      <sz val="16"/>
      <color rgb="FFFF0000"/>
      <name val="Arial"/>
      <family val="2"/>
    </font>
    <font>
      <b/>
      <sz val="16"/>
      <color rgb="FFC00000"/>
      <name val="Arial"/>
      <family val="2"/>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38">
    <border>
      <left/>
      <right/>
      <top/>
      <bottom/>
      <diagonal/>
    </border>
    <border>
      <left style="thin">
        <color theme="3"/>
      </left>
      <right style="thin">
        <color theme="3"/>
      </right>
      <top/>
      <bottom/>
      <diagonal/>
    </border>
    <border>
      <left style="thin">
        <color theme="3"/>
      </left>
      <right style="thin">
        <color theme="3"/>
      </right>
      <top style="thin">
        <color theme="3"/>
      </top>
      <bottom style="double">
        <color theme="3"/>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3"/>
      </left>
      <right style="thin">
        <color theme="3"/>
      </right>
      <top style="thin">
        <color indexed="64"/>
      </top>
      <bottom style="double">
        <color indexed="64"/>
      </bottom>
      <diagonal/>
    </border>
    <border>
      <left style="thin">
        <color indexed="64"/>
      </left>
      <right style="thin">
        <color indexed="64"/>
      </right>
      <top/>
      <bottom/>
      <diagonal/>
    </border>
    <border>
      <left/>
      <right/>
      <top/>
      <bottom style="double">
        <color indexed="64"/>
      </bottom>
      <diagonal/>
    </border>
    <border>
      <left style="thin">
        <color theme="3"/>
      </left>
      <right/>
      <top/>
      <bottom/>
      <diagonal/>
    </border>
    <border>
      <left style="thin">
        <color indexed="64"/>
      </left>
      <right/>
      <top/>
      <bottom style="thin">
        <color indexed="64"/>
      </bottom>
      <diagonal/>
    </border>
    <border>
      <left/>
      <right/>
      <top/>
      <bottom style="medium">
        <color indexed="64"/>
      </bottom>
      <diagonal/>
    </border>
    <border>
      <left style="thin">
        <color theme="3"/>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theme="3"/>
      </left>
      <right/>
      <top style="thin">
        <color theme="3"/>
      </top>
      <bottom style="medium">
        <color indexed="64"/>
      </bottom>
      <diagonal/>
    </border>
    <border>
      <left style="thin">
        <color theme="3"/>
      </left>
      <right style="thin">
        <color theme="3"/>
      </right>
      <top style="thin">
        <color theme="3"/>
      </top>
      <bottom style="medium">
        <color indexed="64"/>
      </bottom>
      <diagonal/>
    </border>
    <border>
      <left style="thin">
        <color theme="3"/>
      </left>
      <right style="thin">
        <color theme="3"/>
      </right>
      <top style="medium">
        <color indexed="64"/>
      </top>
      <bottom style="medium">
        <color indexed="64"/>
      </bottom>
      <diagonal/>
    </border>
    <border>
      <left style="thin">
        <color theme="3"/>
      </left>
      <right/>
      <top style="medium">
        <color indexed="64"/>
      </top>
      <bottom style="medium">
        <color indexed="64"/>
      </bottom>
      <diagonal/>
    </border>
    <border>
      <left/>
      <right style="thin">
        <color indexed="64"/>
      </right>
      <top/>
      <bottom/>
      <diagonal/>
    </border>
    <border>
      <left style="medium">
        <color indexed="64"/>
      </left>
      <right style="thin">
        <color theme="3"/>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double">
        <color theme="3"/>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8" fillId="0" borderId="0"/>
    <xf numFmtId="0" fontId="22" fillId="0" borderId="0"/>
    <xf numFmtId="0" fontId="1" fillId="0" borderId="0"/>
    <xf numFmtId="0" fontId="18" fillId="0" borderId="0"/>
  </cellStyleXfs>
  <cellXfs count="130">
    <xf numFmtId="0" fontId="0" fillId="0" borderId="0" xfId="0"/>
    <xf numFmtId="44" fontId="2" fillId="0" borderId="0" xfId="2" applyFont="1"/>
    <xf numFmtId="164" fontId="2" fillId="0" borderId="0" xfId="1" applyNumberFormat="1" applyFont="1" applyFill="1" applyBorder="1"/>
    <xf numFmtId="165" fontId="2" fillId="0" borderId="10" xfId="2" applyNumberFormat="1" applyFont="1" applyFill="1" applyBorder="1"/>
    <xf numFmtId="0" fontId="2" fillId="0" borderId="0" xfId="0" applyFont="1" applyAlignment="1">
      <alignment horizontal="right"/>
    </xf>
    <xf numFmtId="0" fontId="3" fillId="0" borderId="1" xfId="0" applyFont="1" applyBorder="1"/>
    <xf numFmtId="0" fontId="3" fillId="0" borderId="2" xfId="0" applyFont="1" applyBorder="1"/>
    <xf numFmtId="0" fontId="3" fillId="0" borderId="3" xfId="0" applyFont="1" applyBorder="1" applyAlignment="1">
      <alignment horizontal="right"/>
    </xf>
    <xf numFmtId="165" fontId="2" fillId="0" borderId="4" xfId="2" applyNumberFormat="1" applyFont="1" applyFill="1" applyBorder="1"/>
    <xf numFmtId="0" fontId="3" fillId="0" borderId="5" xfId="0" applyFont="1" applyBorder="1" applyAlignment="1">
      <alignment horizontal="right"/>
    </xf>
    <xf numFmtId="164" fontId="2" fillId="0" borderId="6" xfId="0" applyNumberFormat="1" applyFont="1" applyBorder="1"/>
    <xf numFmtId="0" fontId="3" fillId="0" borderId="7" xfId="0" applyFont="1" applyBorder="1" applyAlignment="1">
      <alignment horizontal="right"/>
    </xf>
    <xf numFmtId="165" fontId="2" fillId="0" borderId="0" xfId="2" applyNumberFormat="1" applyFont="1" applyFill="1" applyBorder="1"/>
    <xf numFmtId="0" fontId="2" fillId="0" borderId="0" xfId="0" applyFont="1"/>
    <xf numFmtId="0" fontId="3" fillId="0" borderId="1" xfId="0" applyFont="1" applyBorder="1" applyAlignment="1">
      <alignment horizontal="left" indent="2"/>
    </xf>
    <xf numFmtId="0" fontId="6" fillId="0" borderId="0" xfId="0" applyFont="1" applyAlignment="1">
      <alignment horizontal="left" indent="2"/>
    </xf>
    <xf numFmtId="0" fontId="6" fillId="0" borderId="1" xfId="0" applyFont="1" applyBorder="1" applyAlignment="1">
      <alignment horizontal="left" indent="2"/>
    </xf>
    <xf numFmtId="0" fontId="5" fillId="0" borderId="0" xfId="0" applyFont="1"/>
    <xf numFmtId="0" fontId="7" fillId="0" borderId="0" xfId="0" applyFont="1"/>
    <xf numFmtId="0" fontId="8" fillId="0" borderId="0" xfId="0" applyFont="1"/>
    <xf numFmtId="0" fontId="9" fillId="0" borderId="0" xfId="0" applyFont="1" applyAlignment="1">
      <alignment horizontal="left" indent="3"/>
    </xf>
    <xf numFmtId="0" fontId="10" fillId="0" borderId="0" xfId="0" applyFont="1" applyAlignment="1">
      <alignment horizontal="left"/>
    </xf>
    <xf numFmtId="0" fontId="11" fillId="0" borderId="0" xfId="0" applyFont="1"/>
    <xf numFmtId="165" fontId="2" fillId="0" borderId="0" xfId="0" applyNumberFormat="1" applyFont="1"/>
    <xf numFmtId="0" fontId="3" fillId="0" borderId="0" xfId="0" applyFont="1" applyAlignment="1">
      <alignment horizontal="right"/>
    </xf>
    <xf numFmtId="165" fontId="2" fillId="0" borderId="12" xfId="2" applyNumberFormat="1" applyFont="1" applyFill="1" applyBorder="1"/>
    <xf numFmtId="0" fontId="3" fillId="0" borderId="12" xfId="0" applyFont="1" applyBorder="1"/>
    <xf numFmtId="0" fontId="3" fillId="0" borderId="12" xfId="0" applyFont="1" applyBorder="1" applyAlignment="1">
      <alignment horizontal="left" indent="2"/>
    </xf>
    <xf numFmtId="0" fontId="6" fillId="0" borderId="12" xfId="0" applyFont="1" applyBorder="1" applyAlignment="1">
      <alignment horizontal="left" indent="2"/>
    </xf>
    <xf numFmtId="164" fontId="2" fillId="0" borderId="0" xfId="1" applyNumberFormat="1" applyFont="1" applyFill="1" applyBorder="1" applyAlignment="1">
      <alignment horizontal="right"/>
    </xf>
    <xf numFmtId="164" fontId="2" fillId="3" borderId="0" xfId="1" applyNumberFormat="1" applyFont="1" applyFill="1" applyBorder="1" applyAlignment="1">
      <alignment horizontal="right"/>
    </xf>
    <xf numFmtId="10" fontId="2" fillId="3" borderId="0" xfId="3" applyNumberFormat="1" applyFont="1" applyFill="1" applyBorder="1" applyAlignment="1">
      <alignment horizontal="right"/>
    </xf>
    <xf numFmtId="165" fontId="2" fillId="3" borderId="0" xfId="2" applyNumberFormat="1" applyFont="1" applyFill="1" applyAlignment="1">
      <alignment horizontal="right"/>
    </xf>
    <xf numFmtId="1" fontId="2" fillId="3" borderId="0" xfId="0" applyNumberFormat="1" applyFont="1" applyFill="1" applyAlignment="1">
      <alignment horizontal="right"/>
    </xf>
    <xf numFmtId="165" fontId="13" fillId="0" borderId="0" xfId="0" applyNumberFormat="1" applyFont="1"/>
    <xf numFmtId="10" fontId="2" fillId="2" borderId="0" xfId="0" applyNumberFormat="1" applyFont="1" applyFill="1" applyAlignment="1">
      <alignment horizontal="right"/>
    </xf>
    <xf numFmtId="166" fontId="2" fillId="3" borderId="0" xfId="3" applyNumberFormat="1" applyFont="1" applyFill="1" applyBorder="1" applyAlignment="1">
      <alignment horizontal="right"/>
    </xf>
    <xf numFmtId="165" fontId="2" fillId="3" borderId="0" xfId="0" applyNumberFormat="1" applyFont="1" applyFill="1"/>
    <xf numFmtId="0" fontId="15" fillId="0" borderId="0" xfId="0" applyFont="1" applyAlignment="1">
      <alignment horizontal="left"/>
    </xf>
    <xf numFmtId="0" fontId="16" fillId="0" borderId="0" xfId="0" applyFont="1"/>
    <xf numFmtId="164" fontId="2" fillId="3" borderId="0" xfId="1" applyNumberFormat="1" applyFont="1" applyFill="1" applyBorder="1"/>
    <xf numFmtId="0" fontId="17" fillId="0" borderId="0" xfId="0" applyFont="1"/>
    <xf numFmtId="0" fontId="3" fillId="0" borderId="0" xfId="0" applyFont="1" applyAlignment="1">
      <alignment horizontal="center"/>
    </xf>
    <xf numFmtId="0" fontId="19" fillId="0" borderId="0" xfId="0" applyFont="1"/>
    <xf numFmtId="165" fontId="20" fillId="0" borderId="0" xfId="0" applyNumberFormat="1" applyFont="1"/>
    <xf numFmtId="0" fontId="12" fillId="0" borderId="0" xfId="0" applyFont="1"/>
    <xf numFmtId="0" fontId="20" fillId="0" borderId="0" xfId="0" applyFont="1" applyAlignment="1">
      <alignment horizontal="right"/>
    </xf>
    <xf numFmtId="0" fontId="21" fillId="0" borderId="0" xfId="0" applyFont="1" applyAlignment="1">
      <alignment horizontal="right"/>
    </xf>
    <xf numFmtId="42" fontId="21" fillId="0" borderId="0" xfId="1" applyNumberFormat="1" applyFont="1"/>
    <xf numFmtId="165" fontId="3" fillId="3" borderId="8" xfId="2" applyNumberFormat="1" applyFont="1" applyFill="1" applyBorder="1"/>
    <xf numFmtId="164" fontId="2" fillId="3" borderId="12" xfId="1" applyNumberFormat="1" applyFont="1" applyFill="1" applyBorder="1"/>
    <xf numFmtId="165" fontId="2" fillId="3" borderId="12" xfId="2" applyNumberFormat="1" applyFont="1" applyFill="1" applyBorder="1"/>
    <xf numFmtId="165" fontId="2" fillId="0" borderId="9" xfId="2" applyNumberFormat="1" applyFont="1" applyFill="1" applyBorder="1"/>
    <xf numFmtId="165" fontId="2" fillId="0" borderId="18" xfId="2" applyNumberFormat="1" applyFont="1" applyFill="1" applyBorder="1"/>
    <xf numFmtId="0" fontId="3" fillId="0" borderId="20" xfId="0" applyFont="1" applyBorder="1"/>
    <xf numFmtId="165" fontId="2" fillId="0" borderId="14" xfId="2" applyNumberFormat="1" applyFont="1" applyFill="1" applyBorder="1"/>
    <xf numFmtId="164" fontId="2" fillId="0" borderId="14" xfId="1" applyNumberFormat="1" applyFont="1" applyFill="1" applyBorder="1"/>
    <xf numFmtId="0" fontId="2" fillId="0" borderId="14" xfId="0" applyFont="1" applyBorder="1"/>
    <xf numFmtId="0" fontId="3" fillId="0" borderId="21" xfId="0" applyFont="1" applyBorder="1"/>
    <xf numFmtId="164" fontId="2" fillId="0" borderId="10" xfId="1" applyNumberFormat="1" applyFont="1" applyFill="1" applyBorder="1"/>
    <xf numFmtId="0" fontId="3" fillId="0" borderId="22" xfId="0" applyFont="1" applyBorder="1" applyAlignment="1">
      <alignment horizontal="center"/>
    </xf>
    <xf numFmtId="0" fontId="3" fillId="0" borderId="23" xfId="0" applyFont="1" applyBorder="1" applyAlignment="1">
      <alignment horizontal="center"/>
    </xf>
    <xf numFmtId="0" fontId="3" fillId="0" borderId="16" xfId="0" applyFont="1" applyBorder="1" applyAlignment="1">
      <alignment horizontal="center"/>
    </xf>
    <xf numFmtId="0" fontId="6" fillId="0" borderId="24" xfId="0" applyFont="1" applyBorder="1" applyAlignment="1">
      <alignment horizontal="left" indent="2"/>
    </xf>
    <xf numFmtId="0" fontId="23" fillId="0" borderId="0" xfId="0" applyFont="1"/>
    <xf numFmtId="0" fontId="2" fillId="0" borderId="0" xfId="0" applyFont="1" applyAlignment="1">
      <alignment horizontal="left" vertical="top" indent="3"/>
    </xf>
    <xf numFmtId="0" fontId="11" fillId="0" borderId="0" xfId="0" applyFont="1" applyAlignment="1">
      <alignment horizontal="left" vertical="top" indent="3"/>
    </xf>
    <xf numFmtId="0" fontId="11" fillId="0" borderId="0" xfId="0" applyFont="1" applyAlignment="1">
      <alignment horizontal="left" indent="3"/>
    </xf>
    <xf numFmtId="0" fontId="11" fillId="0" borderId="26" xfId="0" applyFont="1" applyBorder="1" applyAlignment="1">
      <alignment horizontal="left" vertical="top" indent="3"/>
    </xf>
    <xf numFmtId="0" fontId="11" fillId="0" borderId="27" xfId="0" applyFont="1" applyBorder="1" applyAlignment="1">
      <alignment horizontal="left" vertical="top" indent="3"/>
    </xf>
    <xf numFmtId="0" fontId="11" fillId="0" borderId="14" xfId="0" applyFont="1" applyBorder="1" applyAlignment="1">
      <alignment horizontal="left" indent="3"/>
    </xf>
    <xf numFmtId="0" fontId="2" fillId="0" borderId="0" xfId="0" applyFont="1" applyAlignment="1">
      <alignment horizontal="left" vertical="center"/>
    </xf>
    <xf numFmtId="0" fontId="11" fillId="0" borderId="0" xfId="0" applyFont="1" applyAlignment="1">
      <alignment horizontal="left" vertical="center"/>
    </xf>
    <xf numFmtId="0" fontId="2" fillId="0" borderId="0" xfId="0" applyFont="1" applyAlignment="1">
      <alignment vertical="center"/>
    </xf>
    <xf numFmtId="0" fontId="24" fillId="0" borderId="16" xfId="0" applyFont="1" applyBorder="1" applyAlignment="1">
      <alignment horizontal="center" vertical="center"/>
    </xf>
    <xf numFmtId="0" fontId="24" fillId="0" borderId="29" xfId="0" applyFont="1" applyBorder="1" applyAlignment="1">
      <alignment horizontal="center" vertical="center"/>
    </xf>
    <xf numFmtId="9" fontId="24" fillId="0" borderId="17" xfId="0" applyNumberFormat="1" applyFont="1" applyBorder="1" applyAlignment="1">
      <alignment horizontal="center"/>
    </xf>
    <xf numFmtId="0" fontId="24" fillId="0" borderId="31" xfId="0" applyFont="1" applyBorder="1" applyAlignment="1">
      <alignment horizontal="left" indent="3"/>
    </xf>
    <xf numFmtId="0" fontId="25" fillId="0" borderId="0" xfId="0" applyFont="1"/>
    <xf numFmtId="0" fontId="3" fillId="0" borderId="0" xfId="0" applyFont="1"/>
    <xf numFmtId="0" fontId="26" fillId="0" borderId="22" xfId="0" applyFont="1" applyBorder="1"/>
    <xf numFmtId="0" fontId="26" fillId="0" borderId="25" xfId="0" applyFont="1" applyBorder="1"/>
    <xf numFmtId="0" fontId="4" fillId="0" borderId="0" xfId="0" applyFont="1" applyAlignment="1">
      <alignment horizontal="right"/>
    </xf>
    <xf numFmtId="0" fontId="3" fillId="0" borderId="13" xfId="0" applyFont="1" applyBorder="1"/>
    <xf numFmtId="0" fontId="3" fillId="0" borderId="19" xfId="0" applyFont="1" applyBorder="1"/>
    <xf numFmtId="0" fontId="3" fillId="0" borderId="11" xfId="0" applyFont="1" applyBorder="1"/>
    <xf numFmtId="165" fontId="2" fillId="0" borderId="3" xfId="0" applyNumberFormat="1" applyFont="1" applyBorder="1"/>
    <xf numFmtId="165" fontId="2" fillId="0" borderId="4" xfId="0" applyNumberFormat="1" applyFont="1" applyBorder="1"/>
    <xf numFmtId="165" fontId="2" fillId="0" borderId="5" xfId="0" applyNumberFormat="1" applyFont="1" applyBorder="1"/>
    <xf numFmtId="165" fontId="2" fillId="0" borderId="6" xfId="0" applyNumberFormat="1" applyFont="1" applyBorder="1"/>
    <xf numFmtId="165" fontId="2" fillId="0" borderId="32" xfId="0" applyNumberFormat="1" applyFont="1" applyBorder="1"/>
    <xf numFmtId="165" fontId="2" fillId="0" borderId="33" xfId="0" applyNumberFormat="1" applyFont="1" applyBorder="1"/>
    <xf numFmtId="0" fontId="2" fillId="0" borderId="0" xfId="0" applyFont="1" applyAlignment="1">
      <alignment horizontal="left"/>
    </xf>
    <xf numFmtId="0" fontId="27" fillId="0" borderId="0" xfId="0" applyFont="1" applyAlignment="1">
      <alignment horizontal="left"/>
    </xf>
    <xf numFmtId="0" fontId="28" fillId="0" borderId="0" xfId="0" applyFont="1"/>
    <xf numFmtId="0" fontId="24" fillId="0" borderId="30" xfId="0" applyFont="1" applyBorder="1" applyAlignment="1">
      <alignment horizontal="center" vertical="center"/>
    </xf>
    <xf numFmtId="0" fontId="8" fillId="0" borderId="0" xfId="0" applyFont="1" applyAlignment="1">
      <alignment horizontal="right"/>
    </xf>
    <xf numFmtId="10" fontId="3" fillId="0" borderId="0" xfId="0" applyNumberFormat="1" applyFont="1" applyAlignment="1">
      <alignment horizontal="center"/>
    </xf>
    <xf numFmtId="37" fontId="3" fillId="0" borderId="0" xfId="0" applyNumberFormat="1" applyFont="1" applyAlignment="1">
      <alignment horizontal="center"/>
    </xf>
    <xf numFmtId="0" fontId="26" fillId="0" borderId="0" xfId="0" applyFont="1" applyAlignment="1">
      <alignment horizontal="right"/>
    </xf>
    <xf numFmtId="0" fontId="31" fillId="0" borderId="0" xfId="0" applyFont="1"/>
    <xf numFmtId="0" fontId="11" fillId="3" borderId="0" xfId="0" applyFont="1" applyFill="1" applyAlignment="1">
      <alignment horizontal="left" vertical="top" indent="3"/>
    </xf>
    <xf numFmtId="0" fontId="11" fillId="3" borderId="0" xfId="0" applyFont="1" applyFill="1" applyAlignment="1">
      <alignment horizontal="left" indent="3"/>
    </xf>
    <xf numFmtId="0" fontId="2" fillId="3" borderId="0" xfId="0" applyFont="1" applyFill="1" applyAlignment="1">
      <alignment horizontal="left" vertical="top" indent="3"/>
    </xf>
    <xf numFmtId="10" fontId="3" fillId="0" borderId="0" xfId="3" applyNumberFormat="1" applyFont="1" applyAlignment="1">
      <alignment horizontal="center"/>
    </xf>
    <xf numFmtId="0" fontId="3" fillId="0" borderId="0" xfId="0" applyFont="1" applyAlignment="1">
      <alignment horizontal="left"/>
    </xf>
    <xf numFmtId="9" fontId="2" fillId="3" borderId="0" xfId="0" quotePrefix="1" applyNumberFormat="1" applyFont="1" applyFill="1" applyAlignment="1">
      <alignment horizontal="right"/>
    </xf>
    <xf numFmtId="165" fontId="2" fillId="0" borderId="15" xfId="2" applyNumberFormat="1" applyFont="1" applyFill="1" applyBorder="1"/>
    <xf numFmtId="164" fontId="2" fillId="0" borderId="34" xfId="1" applyNumberFormat="1" applyFont="1" applyFill="1" applyBorder="1"/>
    <xf numFmtId="165" fontId="2" fillId="0" borderId="10" xfId="0" applyNumberFormat="1" applyFont="1" applyBorder="1"/>
    <xf numFmtId="0" fontId="3" fillId="0" borderId="35" xfId="0" applyFont="1" applyBorder="1" applyAlignment="1">
      <alignment horizontal="right"/>
    </xf>
    <xf numFmtId="165" fontId="2" fillId="0" borderId="36" xfId="2" applyNumberFormat="1" applyFont="1" applyFill="1" applyBorder="1"/>
    <xf numFmtId="0" fontId="20" fillId="0" borderId="0" xfId="0" quotePrefix="1" applyFont="1"/>
    <xf numFmtId="0" fontId="32" fillId="0" borderId="0" xfId="0" applyFont="1"/>
    <xf numFmtId="0" fontId="33" fillId="0" borderId="0" xfId="0" applyFont="1"/>
    <xf numFmtId="167" fontId="24" fillId="3" borderId="17" xfId="0" applyNumberFormat="1" applyFont="1" applyFill="1" applyBorder="1" applyAlignment="1">
      <alignment horizontal="center"/>
    </xf>
    <xf numFmtId="0" fontId="24" fillId="3" borderId="14" xfId="0" applyFont="1" applyFill="1" applyBorder="1" applyAlignment="1">
      <alignment horizontal="left" indent="3"/>
    </xf>
    <xf numFmtId="0" fontId="24" fillId="3" borderId="31" xfId="0" applyFont="1" applyFill="1" applyBorder="1" applyAlignment="1">
      <alignment horizontal="left" indent="3"/>
    </xf>
    <xf numFmtId="0" fontId="24" fillId="3" borderId="31" xfId="0" applyFont="1" applyFill="1" applyBorder="1" applyAlignment="1">
      <alignment horizontal="left" vertical="top" indent="3"/>
    </xf>
    <xf numFmtId="0" fontId="3" fillId="0" borderId="37" xfId="0" applyFont="1" applyBorder="1"/>
    <xf numFmtId="37" fontId="24" fillId="3" borderId="0" xfId="0" applyNumberFormat="1" applyFont="1" applyFill="1" applyAlignment="1">
      <alignment horizontal="center"/>
    </xf>
    <xf numFmtId="0" fontId="14" fillId="0" borderId="0" xfId="0" applyFont="1" applyAlignment="1">
      <alignment horizontal="right"/>
    </xf>
    <xf numFmtId="10" fontId="34" fillId="3" borderId="0" xfId="0" applyNumberFormat="1" applyFont="1" applyFill="1" applyAlignment="1">
      <alignment horizontal="center"/>
    </xf>
    <xf numFmtId="0" fontId="30" fillId="0" borderId="0" xfId="0" applyFont="1" applyAlignment="1">
      <alignment horizontal="center"/>
    </xf>
    <xf numFmtId="164" fontId="2" fillId="0" borderId="12" xfId="1" applyNumberFormat="1" applyFont="1" applyFill="1" applyBorder="1"/>
    <xf numFmtId="0" fontId="4" fillId="2" borderId="28" xfId="0" applyFont="1" applyFill="1" applyBorder="1" applyAlignment="1">
      <alignment horizontal="left"/>
    </xf>
    <xf numFmtId="0" fontId="4" fillId="2" borderId="29" xfId="0" applyFont="1" applyFill="1" applyBorder="1" applyAlignment="1">
      <alignment horizontal="left"/>
    </xf>
    <xf numFmtId="0" fontId="4" fillId="2" borderId="30" xfId="0" applyFont="1" applyFill="1" applyBorder="1" applyAlignment="1">
      <alignment horizontal="left"/>
    </xf>
    <xf numFmtId="0" fontId="25" fillId="0" borderId="28" xfId="0" applyFont="1" applyBorder="1" applyAlignment="1">
      <alignment horizontal="left" vertical="center"/>
    </xf>
    <xf numFmtId="0" fontId="29" fillId="0" borderId="30" xfId="0" applyFont="1" applyBorder="1" applyAlignment="1">
      <alignment horizontal="left" vertical="center"/>
    </xf>
  </cellXfs>
  <cellStyles count="8">
    <cellStyle name="Comma" xfId="1" builtinId="3"/>
    <cellStyle name="Currency" xfId="2" builtinId="4"/>
    <cellStyle name="Normal" xfId="0" builtinId="0"/>
    <cellStyle name="Normal 12" xfId="6" xr:uid="{AAA25E44-9943-4C32-BAD4-2C9F2C8647A8}"/>
    <cellStyle name="Normal 2" xfId="5" xr:uid="{C9478BCB-1B20-42A8-BD62-34DDB4CE6807}"/>
    <cellStyle name="Normal 2 3" xfId="4" xr:uid="{00000000-0005-0000-0000-000003000000}"/>
    <cellStyle name="Normal 3" xfId="7" xr:uid="{467903CB-CC85-4346-B4BE-EF8AA6A1D55F}"/>
    <cellStyle name="Percent" xfId="3" builtinId="5"/>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68D2-CF61-40EC-8AE2-22275DBA35F3}">
  <sheetPr>
    <tabColor rgb="FFFFFF00"/>
  </sheetPr>
  <dimension ref="B2:B14"/>
  <sheetViews>
    <sheetView showGridLines="0" zoomScale="90" zoomScaleNormal="90" workbookViewId="0">
      <selection activeCell="E20" sqref="E20"/>
    </sheetView>
  </sheetViews>
  <sheetFormatPr defaultRowHeight="20.25" x14ac:dyDescent="0.3"/>
  <cols>
    <col min="1" max="1" width="11.7109375" style="64" customWidth="1"/>
    <col min="2" max="16384" width="9.140625" style="64"/>
  </cols>
  <sheetData>
    <row r="2" spans="2:2" ht="49.5" customHeight="1" x14ac:dyDescent="0.4">
      <c r="B2" s="100" t="s">
        <v>93</v>
      </c>
    </row>
    <row r="3" spans="2:2" ht="36" customHeight="1" x14ac:dyDescent="0.3">
      <c r="B3" s="94" t="s">
        <v>69</v>
      </c>
    </row>
    <row r="4" spans="2:2" ht="13.5" customHeight="1" x14ac:dyDescent="0.3"/>
    <row r="5" spans="2:2" x14ac:dyDescent="0.3">
      <c r="B5" s="64" t="s">
        <v>70</v>
      </c>
    </row>
    <row r="6" spans="2:2" x14ac:dyDescent="0.3">
      <c r="B6" s="64" t="s">
        <v>71</v>
      </c>
    </row>
    <row r="7" spans="2:2" s="114" customFormat="1" x14ac:dyDescent="0.3">
      <c r="B7" s="114" t="s">
        <v>109</v>
      </c>
    </row>
    <row r="8" spans="2:2" ht="13.5" customHeight="1" x14ac:dyDescent="0.3"/>
    <row r="9" spans="2:2" x14ac:dyDescent="0.3">
      <c r="B9" s="64" t="s">
        <v>110</v>
      </c>
    </row>
    <row r="10" spans="2:2" x14ac:dyDescent="0.3">
      <c r="B10" s="64" t="s">
        <v>72</v>
      </c>
    </row>
    <row r="11" spans="2:2" ht="13.5" customHeight="1" x14ac:dyDescent="0.3"/>
    <row r="12" spans="2:2" x14ac:dyDescent="0.3">
      <c r="B12" s="64" t="s">
        <v>101</v>
      </c>
    </row>
    <row r="14" spans="2:2" x14ac:dyDescent="0.3">
      <c r="B14" s="64" t="s">
        <v>73</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A2:Q36"/>
  <sheetViews>
    <sheetView showGridLines="0" workbookViewId="0">
      <selection activeCell="Q18" sqref="Q18"/>
    </sheetView>
  </sheetViews>
  <sheetFormatPr defaultRowHeight="15.75" x14ac:dyDescent="0.25"/>
  <cols>
    <col min="1" max="1" width="9.85546875" style="18" customWidth="1"/>
    <col min="2" max="3" width="8.85546875" style="18"/>
    <col min="4" max="4" width="17.5703125" style="18" customWidth="1"/>
    <col min="5" max="5" width="13.140625" style="18" customWidth="1"/>
    <col min="6" max="7" width="8.85546875" style="18"/>
    <col min="8" max="8" width="13.7109375" style="18" bestFit="1" customWidth="1"/>
    <col min="9" max="12" width="8.85546875" style="18"/>
    <col min="13" max="13" width="13" style="18" bestFit="1" customWidth="1"/>
    <col min="14" max="15" width="8.85546875" style="18"/>
    <col min="16" max="16" width="13.7109375" style="18" bestFit="1" customWidth="1"/>
    <col min="17" max="17" width="9.140625" style="18"/>
  </cols>
  <sheetData>
    <row r="2" spans="1:13" ht="35.25" customHeight="1" x14ac:dyDescent="0.35">
      <c r="A2" s="13"/>
      <c r="B2" s="39" t="s">
        <v>59</v>
      </c>
    </row>
    <row r="3" spans="1:13" x14ac:dyDescent="0.25">
      <c r="A3" s="13"/>
      <c r="B3" s="19" t="s">
        <v>48</v>
      </c>
    </row>
    <row r="4" spans="1:13" s="13" customFormat="1" ht="21" customHeight="1" x14ac:dyDescent="0.25">
      <c r="B4" s="22" t="s">
        <v>74</v>
      </c>
      <c r="C4" s="18"/>
      <c r="D4" s="18"/>
      <c r="E4" s="18"/>
      <c r="F4" s="18"/>
      <c r="G4" s="18"/>
      <c r="H4" s="18"/>
      <c r="I4" s="18"/>
      <c r="J4" s="18"/>
      <c r="K4" s="18"/>
      <c r="L4" s="18"/>
      <c r="M4" s="18"/>
    </row>
    <row r="5" spans="1:13" s="13" customFormat="1" ht="27" customHeight="1" x14ac:dyDescent="0.25">
      <c r="B5" s="22" t="s">
        <v>75</v>
      </c>
      <c r="C5" s="18"/>
      <c r="D5" s="18"/>
      <c r="E5" s="18"/>
      <c r="F5" s="18"/>
      <c r="G5" s="18"/>
      <c r="H5" s="18"/>
      <c r="I5" s="18"/>
      <c r="J5" s="18"/>
      <c r="K5" s="18"/>
      <c r="L5" s="18"/>
      <c r="M5" s="18"/>
    </row>
    <row r="6" spans="1:13" s="13" customFormat="1" ht="27" customHeight="1" x14ac:dyDescent="0.25">
      <c r="B6" s="22" t="s">
        <v>76</v>
      </c>
      <c r="C6" s="18"/>
      <c r="D6" s="18"/>
      <c r="E6" s="18"/>
      <c r="F6" s="18"/>
      <c r="G6" s="18"/>
      <c r="H6" s="18"/>
      <c r="I6" s="18"/>
      <c r="J6" s="18"/>
      <c r="K6" s="18"/>
      <c r="L6" s="18"/>
      <c r="M6" s="18"/>
    </row>
    <row r="7" spans="1:13" s="13" customFormat="1" ht="21" customHeight="1" x14ac:dyDescent="0.25">
      <c r="B7" s="22" t="s">
        <v>48</v>
      </c>
      <c r="C7" s="18"/>
      <c r="D7" s="18"/>
      <c r="E7" s="18"/>
      <c r="F7" s="18"/>
      <c r="G7" s="18"/>
      <c r="H7" s="18"/>
      <c r="I7" s="18"/>
      <c r="J7" s="18"/>
      <c r="K7" s="18"/>
      <c r="L7" s="18"/>
      <c r="M7" s="18"/>
    </row>
    <row r="8" spans="1:13" s="13" customFormat="1" ht="21" customHeight="1" x14ac:dyDescent="0.25">
      <c r="B8" s="22" t="s">
        <v>48</v>
      </c>
      <c r="C8" s="18"/>
      <c r="D8" s="18"/>
      <c r="E8" s="18"/>
      <c r="F8" s="18"/>
      <c r="G8" s="18"/>
      <c r="H8" s="18"/>
      <c r="I8" s="18"/>
      <c r="J8" s="18"/>
      <c r="K8" s="18"/>
      <c r="L8" s="18"/>
      <c r="M8" s="18"/>
    </row>
    <row r="9" spans="1:13" s="13" customFormat="1" ht="21" customHeight="1" x14ac:dyDescent="0.25">
      <c r="B9" s="22" t="s">
        <v>48</v>
      </c>
      <c r="C9" s="18"/>
      <c r="D9" s="18"/>
      <c r="E9" s="18"/>
      <c r="F9" s="18"/>
      <c r="G9" s="18"/>
      <c r="H9" s="18"/>
      <c r="I9" s="18"/>
      <c r="J9" s="18"/>
      <c r="K9" s="18"/>
      <c r="L9" s="18"/>
      <c r="M9" s="18"/>
    </row>
    <row r="10" spans="1:13" s="13" customFormat="1" ht="21" customHeight="1" x14ac:dyDescent="0.25">
      <c r="B10" s="22" t="s">
        <v>48</v>
      </c>
      <c r="C10" s="18"/>
      <c r="D10" s="18"/>
      <c r="E10" s="18"/>
      <c r="F10" s="18"/>
      <c r="G10" s="18"/>
      <c r="H10" s="18"/>
      <c r="I10" s="18"/>
      <c r="J10" s="18"/>
      <c r="K10" s="18"/>
      <c r="L10" s="18"/>
      <c r="M10" s="18"/>
    </row>
    <row r="11" spans="1:13" s="13" customFormat="1" ht="21" customHeight="1" x14ac:dyDescent="0.25">
      <c r="B11" s="22" t="s">
        <v>48</v>
      </c>
      <c r="C11" s="18"/>
      <c r="D11" s="18"/>
      <c r="E11" s="18"/>
      <c r="F11" s="18"/>
      <c r="G11" s="18"/>
      <c r="H11" s="18"/>
      <c r="I11" s="18"/>
      <c r="J11" s="18"/>
      <c r="K11" s="18"/>
      <c r="L11" s="18"/>
      <c r="M11" s="18"/>
    </row>
    <row r="12" spans="1:13" s="13" customFormat="1" ht="21" customHeight="1" x14ac:dyDescent="0.25">
      <c r="B12" s="22" t="s">
        <v>48</v>
      </c>
      <c r="C12" s="18"/>
      <c r="D12" s="18"/>
      <c r="E12" s="18"/>
      <c r="F12" s="18"/>
      <c r="G12" s="18"/>
      <c r="H12" s="18"/>
      <c r="I12" s="18"/>
      <c r="J12" s="18"/>
      <c r="K12" s="18"/>
      <c r="L12" s="18"/>
      <c r="M12" s="18"/>
    </row>
    <row r="13" spans="1:13" s="13" customFormat="1" ht="21" customHeight="1" x14ac:dyDescent="0.25">
      <c r="B13" s="22" t="s">
        <v>48</v>
      </c>
      <c r="C13" s="18"/>
      <c r="D13" s="18"/>
      <c r="E13" s="18"/>
      <c r="F13" s="18"/>
      <c r="G13" s="18"/>
      <c r="H13" s="18"/>
      <c r="I13" s="18"/>
      <c r="J13" s="18"/>
      <c r="K13" s="18"/>
      <c r="L13" s="18"/>
      <c r="M13" s="18"/>
    </row>
    <row r="14" spans="1:13" s="13" customFormat="1" ht="21" customHeight="1" x14ac:dyDescent="0.25">
      <c r="B14" s="22" t="s">
        <v>48</v>
      </c>
      <c r="C14" s="18"/>
      <c r="D14" s="18"/>
      <c r="E14" s="18"/>
      <c r="F14" s="18"/>
      <c r="G14" s="18"/>
      <c r="H14" s="18"/>
      <c r="I14" s="18"/>
      <c r="J14" s="18"/>
      <c r="K14" s="18"/>
      <c r="L14" s="18"/>
      <c r="M14" s="18"/>
    </row>
    <row r="15" spans="1:13" s="13" customFormat="1" ht="21" customHeight="1" x14ac:dyDescent="0.25">
      <c r="B15" s="22" t="s">
        <v>48</v>
      </c>
      <c r="C15" s="18"/>
      <c r="D15" s="18"/>
      <c r="E15" s="18"/>
      <c r="F15" s="18"/>
      <c r="G15" s="18"/>
      <c r="H15" s="18"/>
      <c r="I15" s="18"/>
      <c r="J15" s="18"/>
      <c r="K15" s="18"/>
      <c r="L15" s="18"/>
      <c r="M15" s="18"/>
    </row>
    <row r="16" spans="1:13" s="13" customFormat="1" ht="21" customHeight="1" x14ac:dyDescent="0.25">
      <c r="B16" s="22" t="s">
        <v>48</v>
      </c>
      <c r="C16" s="18"/>
      <c r="D16" s="18"/>
      <c r="E16" s="18"/>
      <c r="F16" s="18"/>
      <c r="G16" s="18"/>
      <c r="H16" s="18"/>
      <c r="I16" s="18"/>
      <c r="J16" s="18"/>
      <c r="K16" s="18"/>
      <c r="L16" s="18"/>
      <c r="M16" s="18"/>
    </row>
    <row r="17" spans="1:13" s="13" customFormat="1" ht="18.75" customHeight="1" x14ac:dyDescent="0.2">
      <c r="B17" s="18" t="s">
        <v>48</v>
      </c>
      <c r="C17" s="18"/>
      <c r="D17" s="18"/>
      <c r="E17" s="18"/>
      <c r="F17" s="18"/>
      <c r="G17" s="18"/>
      <c r="H17" s="18"/>
      <c r="I17" s="18"/>
      <c r="J17" s="18"/>
      <c r="K17" s="18"/>
      <c r="L17" s="18"/>
      <c r="M17" s="18"/>
    </row>
    <row r="18" spans="1:13" s="13" customFormat="1" ht="18.75" customHeight="1" x14ac:dyDescent="0.2">
      <c r="B18" s="18" t="s">
        <v>48</v>
      </c>
      <c r="C18" s="18"/>
      <c r="D18" s="18"/>
      <c r="E18" s="18"/>
      <c r="F18" s="18"/>
      <c r="G18" s="18"/>
      <c r="H18" s="18"/>
      <c r="I18" s="18"/>
      <c r="J18" s="18"/>
      <c r="K18" s="18"/>
      <c r="L18" s="18"/>
      <c r="M18" s="18"/>
    </row>
    <row r="19" spans="1:13" s="13" customFormat="1" ht="18.75" customHeight="1" x14ac:dyDescent="0.2">
      <c r="B19" s="18" t="s">
        <v>48</v>
      </c>
      <c r="C19" s="18"/>
      <c r="D19" s="18"/>
      <c r="E19" s="18"/>
      <c r="F19" s="18"/>
      <c r="G19" s="18"/>
      <c r="H19" s="18"/>
      <c r="I19" s="18"/>
      <c r="J19" s="18"/>
      <c r="K19" s="18"/>
      <c r="L19" s="18"/>
      <c r="M19" s="18"/>
    </row>
    <row r="20" spans="1:13" s="13" customFormat="1" ht="18.75" customHeight="1" x14ac:dyDescent="0.2">
      <c r="B20" s="18" t="s">
        <v>48</v>
      </c>
      <c r="C20" s="18"/>
      <c r="D20" s="18"/>
      <c r="E20" s="18"/>
      <c r="F20" s="18"/>
      <c r="G20" s="18"/>
      <c r="H20" s="18"/>
      <c r="I20" s="18"/>
      <c r="J20" s="18"/>
      <c r="K20" s="18"/>
      <c r="L20" s="18"/>
      <c r="M20" s="18"/>
    </row>
    <row r="21" spans="1:13" s="13" customFormat="1" ht="18.75" customHeight="1" x14ac:dyDescent="0.2">
      <c r="B21" s="18" t="s">
        <v>48</v>
      </c>
      <c r="C21" s="18"/>
      <c r="D21" s="18"/>
      <c r="E21" s="18"/>
      <c r="F21" s="18"/>
      <c r="G21" s="18"/>
      <c r="H21" s="18"/>
      <c r="I21" s="18"/>
      <c r="J21" s="18"/>
      <c r="K21" s="18"/>
      <c r="L21" s="18"/>
      <c r="M21" s="18"/>
    </row>
    <row r="22" spans="1:13" s="13" customFormat="1" ht="18.75" customHeight="1" x14ac:dyDescent="0.2">
      <c r="B22" s="18" t="s">
        <v>48</v>
      </c>
      <c r="C22" s="18"/>
      <c r="D22" s="18"/>
      <c r="E22" s="18"/>
      <c r="F22" s="18"/>
      <c r="G22" s="18"/>
      <c r="H22" s="18"/>
      <c r="I22" s="18"/>
      <c r="J22" s="18"/>
      <c r="K22" s="18"/>
      <c r="L22" s="18"/>
      <c r="M22" s="18"/>
    </row>
    <row r="23" spans="1:13" s="13" customFormat="1" ht="18.75" customHeight="1" x14ac:dyDescent="0.2">
      <c r="A23" s="18"/>
      <c r="B23" s="18"/>
      <c r="C23" s="18"/>
      <c r="D23" s="18"/>
      <c r="E23" s="18"/>
      <c r="F23" s="18"/>
      <c r="G23" s="18"/>
      <c r="H23" s="18"/>
      <c r="I23" s="18"/>
      <c r="J23" s="18"/>
      <c r="K23" s="18"/>
      <c r="L23" s="18"/>
      <c r="M23" s="18"/>
    </row>
    <row r="24" spans="1:13" s="13" customFormat="1" ht="18.75" customHeight="1" x14ac:dyDescent="0.2">
      <c r="A24" s="18"/>
      <c r="B24" s="18"/>
      <c r="C24" s="18"/>
      <c r="D24" s="18"/>
      <c r="E24" s="18"/>
      <c r="F24" s="18"/>
      <c r="G24" s="18"/>
      <c r="H24" s="18"/>
      <c r="I24" s="18"/>
      <c r="J24" s="18"/>
      <c r="K24" s="18"/>
      <c r="L24" s="18"/>
      <c r="M24" s="18"/>
    </row>
    <row r="25" spans="1:13" s="13" customFormat="1" ht="15" x14ac:dyDescent="0.2">
      <c r="A25" s="18"/>
      <c r="B25" s="18"/>
      <c r="C25" s="18"/>
      <c r="D25" s="18"/>
      <c r="E25" s="18"/>
      <c r="F25" s="18"/>
      <c r="G25" s="18"/>
      <c r="H25" s="18"/>
      <c r="I25" s="18"/>
      <c r="J25" s="18"/>
      <c r="K25" s="18"/>
      <c r="L25" s="18"/>
      <c r="M25" s="18"/>
    </row>
    <row r="26" spans="1:13" s="13" customFormat="1" ht="15" x14ac:dyDescent="0.2">
      <c r="A26" s="18"/>
      <c r="B26" s="18"/>
      <c r="C26" s="18"/>
      <c r="D26" s="18"/>
      <c r="E26" s="18"/>
      <c r="F26" s="18"/>
      <c r="G26" s="18"/>
      <c r="H26" s="18"/>
      <c r="I26" s="18"/>
      <c r="J26" s="18"/>
      <c r="K26" s="18"/>
      <c r="L26" s="18"/>
      <c r="M26" s="18"/>
    </row>
    <row r="27" spans="1:13" s="13" customFormat="1" ht="15" x14ac:dyDescent="0.2">
      <c r="A27" s="18"/>
      <c r="B27" s="18"/>
      <c r="C27" s="18"/>
      <c r="D27" s="18"/>
      <c r="E27" s="18"/>
      <c r="F27" s="18"/>
      <c r="G27" s="18"/>
      <c r="H27" s="18"/>
      <c r="I27" s="18"/>
      <c r="J27" s="18"/>
      <c r="K27" s="18"/>
      <c r="L27" s="18"/>
      <c r="M27" s="18"/>
    </row>
    <row r="28" spans="1:13" s="13" customFormat="1" ht="15" x14ac:dyDescent="0.2">
      <c r="A28" s="18"/>
      <c r="B28" s="18"/>
      <c r="C28" s="18"/>
      <c r="D28" s="18"/>
      <c r="E28" s="18"/>
      <c r="F28" s="18"/>
      <c r="G28" s="18"/>
      <c r="H28" s="18"/>
      <c r="I28" s="18"/>
      <c r="J28" s="18"/>
      <c r="K28" s="18"/>
      <c r="L28" s="18"/>
      <c r="M28" s="18"/>
    </row>
    <row r="29" spans="1:13" s="13" customFormat="1" ht="15" x14ac:dyDescent="0.2">
      <c r="A29" s="18"/>
      <c r="B29" s="18"/>
      <c r="C29" s="18"/>
      <c r="D29" s="18"/>
      <c r="E29" s="18"/>
      <c r="F29" s="18"/>
      <c r="G29" s="18"/>
      <c r="H29" s="18"/>
      <c r="I29" s="18"/>
      <c r="J29" s="18"/>
      <c r="K29" s="18"/>
      <c r="L29" s="18"/>
      <c r="M29" s="18"/>
    </row>
    <row r="30" spans="1:13" s="13" customFormat="1" ht="15" x14ac:dyDescent="0.2">
      <c r="A30" s="18"/>
      <c r="B30" s="18"/>
      <c r="C30" s="18"/>
      <c r="D30" s="18"/>
      <c r="E30" s="18"/>
      <c r="F30" s="18"/>
      <c r="G30" s="18"/>
      <c r="H30" s="18"/>
      <c r="I30" s="18"/>
      <c r="J30" s="18"/>
      <c r="K30" s="18"/>
      <c r="L30" s="18"/>
      <c r="M30" s="18"/>
    </row>
    <row r="31" spans="1:13" s="13" customFormat="1" ht="15" x14ac:dyDescent="0.2">
      <c r="A31" s="18"/>
      <c r="B31" s="18"/>
      <c r="C31" s="18"/>
      <c r="D31" s="18"/>
      <c r="E31" s="18"/>
      <c r="F31" s="18"/>
      <c r="G31" s="18"/>
      <c r="H31" s="18"/>
      <c r="I31" s="18"/>
      <c r="J31" s="18"/>
      <c r="K31" s="18"/>
      <c r="L31" s="18"/>
      <c r="M31" s="18"/>
    </row>
    <row r="32" spans="1:13" s="13" customFormat="1" ht="15" x14ac:dyDescent="0.2">
      <c r="A32" s="18"/>
      <c r="B32" s="18"/>
      <c r="C32" s="18"/>
      <c r="D32" s="18"/>
      <c r="E32" s="18"/>
      <c r="F32" s="18"/>
      <c r="G32" s="18"/>
      <c r="H32" s="18"/>
      <c r="I32" s="18"/>
      <c r="J32" s="18"/>
      <c r="K32" s="18"/>
      <c r="L32" s="18"/>
      <c r="M32" s="18"/>
    </row>
    <row r="33" spans="1:13" s="13" customFormat="1" ht="15" x14ac:dyDescent="0.2">
      <c r="A33" s="18"/>
      <c r="B33" s="18"/>
      <c r="C33" s="18"/>
      <c r="D33" s="18"/>
      <c r="E33" s="18"/>
      <c r="F33" s="18"/>
      <c r="G33" s="18"/>
      <c r="H33" s="18"/>
      <c r="I33" s="18"/>
      <c r="J33" s="18"/>
      <c r="K33" s="18"/>
      <c r="L33" s="18"/>
      <c r="M33" s="18"/>
    </row>
    <row r="34" spans="1:13" s="13" customFormat="1" ht="15" x14ac:dyDescent="0.2">
      <c r="A34" s="18"/>
      <c r="B34" s="18"/>
      <c r="C34" s="18"/>
      <c r="D34" s="18"/>
      <c r="E34" s="18"/>
      <c r="F34" s="18"/>
      <c r="G34" s="18"/>
      <c r="H34" s="18"/>
      <c r="I34" s="18"/>
      <c r="J34" s="18"/>
      <c r="K34" s="18"/>
      <c r="L34" s="18"/>
      <c r="M34" s="18"/>
    </row>
    <row r="35" spans="1:13" s="13" customFormat="1" ht="15" x14ac:dyDescent="0.2">
      <c r="A35" s="18"/>
      <c r="B35" s="18"/>
      <c r="C35" s="18"/>
      <c r="D35" s="18"/>
      <c r="E35" s="18"/>
      <c r="F35" s="18"/>
      <c r="G35" s="18"/>
      <c r="H35" s="18"/>
      <c r="I35" s="18"/>
      <c r="J35" s="18"/>
      <c r="K35" s="18"/>
      <c r="L35" s="18"/>
      <c r="M35" s="18"/>
    </row>
    <row r="36" spans="1:13" s="13" customFormat="1" ht="15" x14ac:dyDescent="0.2">
      <c r="A36" s="18"/>
      <c r="B36" s="18"/>
      <c r="C36" s="18"/>
      <c r="D36" s="18"/>
      <c r="E36" s="18"/>
      <c r="F36" s="18"/>
      <c r="G36" s="18"/>
      <c r="H36" s="18"/>
      <c r="I36" s="18"/>
      <c r="J36" s="18"/>
      <c r="K36" s="18"/>
      <c r="L36" s="18"/>
      <c r="M36" s="18"/>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K47"/>
  <sheetViews>
    <sheetView showGridLines="0" zoomScale="110" zoomScaleNormal="110" workbookViewId="0">
      <selection activeCell="I18" sqref="I18"/>
    </sheetView>
  </sheetViews>
  <sheetFormatPr defaultRowHeight="18" x14ac:dyDescent="0.25"/>
  <cols>
    <col min="1" max="1" width="9.140625" style="13"/>
    <col min="2" max="2" width="9.140625" style="22"/>
    <col min="3" max="3" width="3" style="22" customWidth="1"/>
    <col min="4" max="4" width="28.7109375" style="13" customWidth="1"/>
    <col min="5" max="5" width="29" style="13" customWidth="1"/>
    <col min="6" max="6" width="22.7109375" style="13" customWidth="1"/>
    <col min="7" max="7" width="27" style="13" customWidth="1"/>
    <col min="8" max="8" width="26.140625" style="13" customWidth="1"/>
    <col min="9" max="9" width="22.7109375" style="13" customWidth="1"/>
    <col min="10" max="16384" width="9.140625" style="13"/>
  </cols>
  <sheetData>
    <row r="1" spans="1:11" ht="46.5" customHeight="1" x14ac:dyDescent="0.35">
      <c r="A1" s="20"/>
      <c r="B1" s="93" t="s">
        <v>45</v>
      </c>
      <c r="C1" s="21"/>
    </row>
    <row r="3" spans="1:11" x14ac:dyDescent="0.25">
      <c r="A3" s="65" t="s">
        <v>48</v>
      </c>
      <c r="B3" s="22" t="s">
        <v>77</v>
      </c>
      <c r="D3" s="66"/>
      <c r="E3" s="66"/>
      <c r="F3" s="66"/>
      <c r="G3" s="66"/>
      <c r="H3" s="66"/>
      <c r="I3" s="66"/>
      <c r="J3" s="65"/>
      <c r="K3" s="65"/>
    </row>
    <row r="4" spans="1:11" x14ac:dyDescent="0.25">
      <c r="A4" s="65"/>
      <c r="B4" s="22" t="s">
        <v>78</v>
      </c>
      <c r="D4" s="66"/>
      <c r="E4" s="66"/>
      <c r="F4" s="66"/>
      <c r="G4" s="66"/>
      <c r="H4" s="66"/>
      <c r="I4" s="66"/>
      <c r="J4" s="65"/>
      <c r="K4" s="65"/>
    </row>
    <row r="5" spans="1:11" ht="18.75" thickBot="1" x14ac:dyDescent="0.3">
      <c r="A5" s="65"/>
      <c r="B5" s="22" t="s">
        <v>48</v>
      </c>
      <c r="D5" s="66"/>
      <c r="E5" s="66"/>
      <c r="F5" s="66"/>
      <c r="G5" s="66"/>
      <c r="H5" s="66"/>
      <c r="I5" s="66"/>
      <c r="J5" s="65"/>
      <c r="K5" s="65"/>
    </row>
    <row r="6" spans="1:11" s="73" customFormat="1" ht="22.5" customHeight="1" thickBot="1" x14ac:dyDescent="0.3">
      <c r="A6" s="71"/>
      <c r="B6" s="72"/>
      <c r="C6" s="128" t="s">
        <v>88</v>
      </c>
      <c r="D6" s="129"/>
      <c r="E6" s="95" t="s">
        <v>81</v>
      </c>
      <c r="F6" s="75" t="s">
        <v>35</v>
      </c>
      <c r="G6" s="74" t="s">
        <v>82</v>
      </c>
      <c r="H6" s="74" t="s">
        <v>83</v>
      </c>
      <c r="I6" s="72"/>
      <c r="J6" s="71"/>
      <c r="K6" s="71"/>
    </row>
    <row r="7" spans="1:11" ht="31.5" customHeight="1" x14ac:dyDescent="0.25">
      <c r="A7" s="65"/>
      <c r="B7" s="66"/>
      <c r="C7" s="68"/>
      <c r="D7" s="78" t="s">
        <v>117</v>
      </c>
      <c r="E7" s="76">
        <v>0.08</v>
      </c>
      <c r="F7" s="120" t="s">
        <v>48</v>
      </c>
      <c r="G7" s="115" t="s">
        <v>48</v>
      </c>
      <c r="H7" s="115" t="s">
        <v>48</v>
      </c>
      <c r="I7" s="66"/>
      <c r="J7" s="65"/>
      <c r="K7" s="65"/>
    </row>
    <row r="8" spans="1:11" ht="26.25" customHeight="1" x14ac:dyDescent="0.25">
      <c r="A8" s="65"/>
      <c r="B8" s="66"/>
      <c r="C8" s="68"/>
      <c r="D8" s="78" t="s">
        <v>79</v>
      </c>
      <c r="E8" s="76">
        <v>0.05</v>
      </c>
      <c r="F8" s="120">
        <f>'(5) AnalysisModel-AverageGrowth'!B141</f>
        <v>16913898.964200657</v>
      </c>
      <c r="G8" s="115">
        <f>'(5) AnalysisModel-AverageGrowth'!B139</f>
        <v>323496857258.12573</v>
      </c>
      <c r="H8" s="115">
        <f>G8/F8</f>
        <v>19126.096114374777</v>
      </c>
      <c r="I8" s="66"/>
      <c r="J8" s="65"/>
      <c r="K8" s="65"/>
    </row>
    <row r="9" spans="1:11" ht="26.25" customHeight="1" x14ac:dyDescent="0.25">
      <c r="A9" s="65"/>
      <c r="B9" s="66"/>
      <c r="C9" s="68"/>
      <c r="D9" s="78" t="s">
        <v>80</v>
      </c>
      <c r="E9" s="76">
        <v>0.03</v>
      </c>
      <c r="F9" s="120" t="s">
        <v>48</v>
      </c>
      <c r="G9" s="115" t="s">
        <v>48</v>
      </c>
      <c r="H9" s="115" t="s">
        <v>48</v>
      </c>
      <c r="I9" s="66"/>
      <c r="J9" s="65"/>
      <c r="K9" s="65"/>
    </row>
    <row r="10" spans="1:11" ht="12" customHeight="1" thickBot="1" x14ac:dyDescent="0.3">
      <c r="A10" s="65"/>
      <c r="B10" s="66"/>
      <c r="C10" s="69"/>
      <c r="D10" s="70"/>
      <c r="E10" s="77"/>
      <c r="F10" s="116"/>
      <c r="G10" s="117"/>
      <c r="H10" s="118"/>
      <c r="I10" s="66"/>
      <c r="J10" s="65"/>
      <c r="K10" s="65"/>
    </row>
    <row r="11" spans="1:11" ht="22.5" customHeight="1" x14ac:dyDescent="0.25">
      <c r="A11" s="65"/>
      <c r="B11" s="66"/>
      <c r="C11" s="66"/>
      <c r="D11" s="67"/>
      <c r="E11" s="67"/>
      <c r="F11" s="67"/>
      <c r="G11" s="67"/>
      <c r="H11" s="66"/>
      <c r="I11" s="66"/>
      <c r="J11" s="65"/>
      <c r="K11" s="65"/>
    </row>
    <row r="12" spans="1:11" ht="22.5" customHeight="1" x14ac:dyDescent="0.25">
      <c r="A12" s="65"/>
      <c r="B12" s="101"/>
      <c r="C12" s="101"/>
      <c r="D12" s="102"/>
      <c r="E12" s="102"/>
      <c r="F12" s="102"/>
      <c r="G12" s="102"/>
      <c r="H12" s="101"/>
      <c r="I12" s="66"/>
      <c r="J12" s="65"/>
      <c r="K12" s="65"/>
    </row>
    <row r="13" spans="1:11" ht="22.5" customHeight="1" x14ac:dyDescent="0.25">
      <c r="A13" s="65"/>
      <c r="B13" s="101"/>
      <c r="C13" s="101"/>
      <c r="D13" s="102"/>
      <c r="E13" s="102"/>
      <c r="F13" s="102"/>
      <c r="G13" s="102"/>
      <c r="H13" s="101"/>
      <c r="I13" s="66"/>
      <c r="J13" s="65"/>
      <c r="K13" s="65"/>
    </row>
    <row r="14" spans="1:11" ht="22.5" customHeight="1" x14ac:dyDescent="0.25">
      <c r="A14" s="65"/>
      <c r="B14" s="101"/>
      <c r="C14" s="101"/>
      <c r="D14" s="102"/>
      <c r="E14" s="102"/>
      <c r="F14" s="102"/>
      <c r="G14" s="102"/>
      <c r="H14" s="101"/>
      <c r="I14" s="66"/>
      <c r="J14" s="65"/>
      <c r="K14" s="65"/>
    </row>
    <row r="15" spans="1:11" ht="22.5" customHeight="1" x14ac:dyDescent="0.2">
      <c r="A15" s="65"/>
      <c r="B15" s="101"/>
      <c r="C15" s="101"/>
      <c r="D15" s="101"/>
      <c r="E15" s="101"/>
      <c r="F15" s="101"/>
      <c r="G15" s="101"/>
      <c r="H15" s="101"/>
      <c r="I15" s="66"/>
      <c r="J15" s="65"/>
      <c r="K15" s="65"/>
    </row>
    <row r="16" spans="1:11" x14ac:dyDescent="0.2">
      <c r="A16" s="65"/>
      <c r="B16" s="101"/>
      <c r="C16" s="101"/>
      <c r="D16" s="101"/>
      <c r="E16" s="101"/>
      <c r="F16" s="101"/>
      <c r="G16" s="101"/>
      <c r="H16" s="101"/>
      <c r="I16" s="66"/>
      <c r="J16" s="65"/>
      <c r="K16" s="65"/>
    </row>
    <row r="17" spans="1:11" x14ac:dyDescent="0.2">
      <c r="A17" s="65"/>
      <c r="B17" s="101"/>
      <c r="C17" s="101"/>
      <c r="D17" s="101"/>
      <c r="E17" s="101"/>
      <c r="F17" s="101"/>
      <c r="G17" s="101"/>
      <c r="H17" s="101"/>
      <c r="I17" s="66"/>
      <c r="J17" s="65"/>
      <c r="K17" s="65"/>
    </row>
    <row r="18" spans="1:11" x14ac:dyDescent="0.2">
      <c r="A18" s="65"/>
      <c r="B18" s="101"/>
      <c r="C18" s="101"/>
      <c r="D18" s="101"/>
      <c r="E18" s="101"/>
      <c r="F18" s="101"/>
      <c r="G18" s="101"/>
      <c r="H18" s="101"/>
      <c r="I18" s="66"/>
      <c r="J18" s="65"/>
      <c r="K18" s="65"/>
    </row>
    <row r="19" spans="1:11" ht="14.25" x14ac:dyDescent="0.2">
      <c r="A19" s="65"/>
      <c r="B19" s="103"/>
      <c r="C19" s="103"/>
      <c r="D19" s="103"/>
      <c r="E19" s="103"/>
      <c r="F19" s="103"/>
      <c r="G19" s="103"/>
      <c r="H19" s="103"/>
      <c r="I19" s="65"/>
      <c r="J19" s="65"/>
      <c r="K19" s="65"/>
    </row>
    <row r="20" spans="1:11" ht="14.25" x14ac:dyDescent="0.2">
      <c r="A20" s="65"/>
      <c r="B20" s="65"/>
      <c r="C20" s="65"/>
      <c r="D20" s="65"/>
      <c r="E20" s="65"/>
      <c r="F20" s="65"/>
      <c r="G20" s="65"/>
      <c r="H20" s="65"/>
      <c r="I20" s="65"/>
      <c r="J20" s="65"/>
      <c r="K20" s="65"/>
    </row>
    <row r="21" spans="1:11" ht="14.25" x14ac:dyDescent="0.2">
      <c r="A21" s="65"/>
      <c r="B21" s="65"/>
      <c r="C21" s="65"/>
      <c r="D21" s="65"/>
      <c r="E21" s="65"/>
      <c r="F21" s="65"/>
      <c r="G21" s="65"/>
      <c r="H21" s="65"/>
      <c r="I21" s="65"/>
      <c r="J21" s="65"/>
      <c r="K21" s="65"/>
    </row>
    <row r="22" spans="1:11" ht="14.25" x14ac:dyDescent="0.2">
      <c r="A22" s="65"/>
      <c r="B22" s="65"/>
      <c r="C22" s="65"/>
      <c r="D22" s="65"/>
      <c r="E22" s="65"/>
      <c r="F22" s="65"/>
      <c r="G22" s="65"/>
      <c r="H22" s="65"/>
      <c r="I22" s="65"/>
      <c r="J22" s="65"/>
      <c r="K22" s="65"/>
    </row>
    <row r="23" spans="1:11" ht="14.25" x14ac:dyDescent="0.2">
      <c r="A23" s="65"/>
      <c r="B23" s="65"/>
      <c r="C23" s="65"/>
      <c r="D23" s="65"/>
      <c r="E23" s="65"/>
      <c r="F23" s="65"/>
      <c r="G23" s="65"/>
      <c r="H23" s="65"/>
      <c r="I23" s="65"/>
      <c r="J23" s="65"/>
      <c r="K23" s="65"/>
    </row>
    <row r="24" spans="1:11" ht="14.25" x14ac:dyDescent="0.2">
      <c r="A24" s="65"/>
      <c r="B24" s="65"/>
      <c r="C24" s="65"/>
      <c r="D24" s="65"/>
      <c r="E24" s="65"/>
      <c r="F24" s="65"/>
      <c r="G24" s="65"/>
      <c r="H24" s="65"/>
      <c r="I24" s="65"/>
      <c r="J24" s="65"/>
      <c r="K24" s="65"/>
    </row>
    <row r="25" spans="1:11" ht="14.25" x14ac:dyDescent="0.2">
      <c r="A25" s="65"/>
      <c r="B25" s="65"/>
      <c r="C25" s="65"/>
      <c r="D25" s="65"/>
      <c r="E25" s="65"/>
      <c r="F25" s="65"/>
      <c r="G25" s="65"/>
      <c r="H25" s="65"/>
      <c r="I25" s="65"/>
      <c r="J25" s="65"/>
      <c r="K25" s="65"/>
    </row>
    <row r="26" spans="1:11" ht="14.25" x14ac:dyDescent="0.2">
      <c r="A26" s="65"/>
      <c r="B26" s="65"/>
      <c r="C26" s="65"/>
      <c r="D26" s="65"/>
      <c r="E26" s="65"/>
      <c r="F26" s="65"/>
      <c r="G26" s="65"/>
      <c r="H26" s="65"/>
      <c r="I26" s="65"/>
      <c r="J26" s="65"/>
      <c r="K26" s="65"/>
    </row>
    <row r="27" spans="1:11" ht="14.25" x14ac:dyDescent="0.2">
      <c r="A27" s="65"/>
      <c r="B27" s="65"/>
      <c r="C27" s="65"/>
      <c r="D27" s="65"/>
      <c r="E27" s="65"/>
      <c r="F27" s="65"/>
      <c r="G27" s="65"/>
      <c r="H27" s="65"/>
      <c r="I27" s="65"/>
      <c r="J27" s="65"/>
      <c r="K27" s="65"/>
    </row>
    <row r="28" spans="1:11" ht="14.25" x14ac:dyDescent="0.2">
      <c r="A28" s="65"/>
      <c r="B28" s="65"/>
      <c r="C28" s="65"/>
      <c r="D28" s="65"/>
      <c r="E28" s="65"/>
      <c r="F28" s="65"/>
      <c r="G28" s="65"/>
      <c r="H28" s="65"/>
      <c r="I28" s="65"/>
      <c r="J28" s="65"/>
      <c r="K28" s="65"/>
    </row>
    <row r="29" spans="1:11" ht="14.25" x14ac:dyDescent="0.2">
      <c r="A29" s="65"/>
      <c r="B29" s="65"/>
      <c r="C29" s="65"/>
      <c r="D29" s="65"/>
      <c r="E29" s="65"/>
      <c r="F29" s="65"/>
      <c r="G29" s="65"/>
      <c r="H29" s="65"/>
      <c r="I29" s="65"/>
      <c r="J29" s="65"/>
      <c r="K29" s="65"/>
    </row>
    <row r="30" spans="1:11" ht="14.25" x14ac:dyDescent="0.2">
      <c r="A30" s="65"/>
      <c r="B30" s="65"/>
      <c r="C30" s="65"/>
      <c r="D30" s="65"/>
      <c r="E30" s="65"/>
      <c r="F30" s="65"/>
      <c r="G30" s="65"/>
      <c r="H30" s="65"/>
      <c r="I30" s="65"/>
      <c r="J30" s="65"/>
      <c r="K30" s="65"/>
    </row>
    <row r="31" spans="1:11" ht="14.25" x14ac:dyDescent="0.2">
      <c r="A31" s="65"/>
      <c r="B31" s="65"/>
      <c r="C31" s="65"/>
      <c r="D31" s="65"/>
      <c r="E31" s="65"/>
      <c r="F31" s="65"/>
      <c r="G31" s="65"/>
      <c r="H31" s="65"/>
      <c r="I31" s="65"/>
      <c r="J31" s="65"/>
      <c r="K31" s="65"/>
    </row>
    <row r="32" spans="1:11" ht="14.25" x14ac:dyDescent="0.2">
      <c r="A32" s="65"/>
      <c r="B32" s="65"/>
      <c r="C32" s="65"/>
      <c r="D32" s="65"/>
      <c r="E32" s="65"/>
      <c r="F32" s="65"/>
      <c r="G32" s="65"/>
      <c r="H32" s="65"/>
      <c r="I32" s="65"/>
      <c r="J32" s="65"/>
      <c r="K32" s="65"/>
    </row>
    <row r="33" spans="1:11" ht="14.25" x14ac:dyDescent="0.2">
      <c r="A33" s="65"/>
      <c r="B33" s="65"/>
      <c r="C33" s="65"/>
      <c r="D33" s="65"/>
      <c r="E33" s="65"/>
      <c r="F33" s="65"/>
      <c r="G33" s="65"/>
      <c r="H33" s="65"/>
      <c r="I33" s="65"/>
      <c r="J33" s="65"/>
      <c r="K33" s="65"/>
    </row>
    <row r="34" spans="1:11" ht="14.25" x14ac:dyDescent="0.2">
      <c r="A34" s="65"/>
      <c r="B34" s="65"/>
      <c r="C34" s="65"/>
      <c r="D34" s="65"/>
      <c r="E34" s="65"/>
      <c r="F34" s="65"/>
      <c r="G34" s="65"/>
      <c r="H34" s="65"/>
      <c r="I34" s="65"/>
      <c r="J34" s="65"/>
      <c r="K34" s="65"/>
    </row>
    <row r="35" spans="1:11" ht="14.25" x14ac:dyDescent="0.2">
      <c r="A35" s="65"/>
      <c r="B35" s="65"/>
      <c r="C35" s="65"/>
      <c r="D35" s="65"/>
      <c r="E35" s="65"/>
      <c r="F35" s="65"/>
      <c r="G35" s="65"/>
      <c r="H35" s="65"/>
      <c r="I35" s="65"/>
      <c r="J35" s="65"/>
      <c r="K35" s="65"/>
    </row>
    <row r="36" spans="1:11" ht="14.25" x14ac:dyDescent="0.2">
      <c r="A36" s="65"/>
      <c r="B36" s="65"/>
      <c r="C36" s="65"/>
      <c r="D36" s="65"/>
      <c r="E36" s="65"/>
      <c r="F36" s="65"/>
      <c r="G36" s="65"/>
      <c r="H36" s="65"/>
      <c r="I36" s="65"/>
      <c r="J36" s="65"/>
      <c r="K36" s="65"/>
    </row>
    <row r="37" spans="1:11" ht="14.25" x14ac:dyDescent="0.2">
      <c r="A37" s="65"/>
      <c r="B37" s="65"/>
      <c r="C37" s="65"/>
      <c r="D37" s="65"/>
      <c r="E37" s="65"/>
      <c r="F37" s="65"/>
      <c r="G37" s="65"/>
      <c r="H37" s="65"/>
      <c r="I37" s="65"/>
      <c r="J37" s="65"/>
      <c r="K37" s="65"/>
    </row>
    <row r="38" spans="1:11" ht="14.25" x14ac:dyDescent="0.2">
      <c r="A38" s="65"/>
      <c r="B38" s="65"/>
      <c r="C38" s="65"/>
      <c r="D38" s="65"/>
      <c r="E38" s="65"/>
      <c r="F38" s="65"/>
      <c r="G38" s="65"/>
      <c r="H38" s="65"/>
      <c r="I38" s="65"/>
      <c r="J38" s="65"/>
      <c r="K38" s="65"/>
    </row>
    <row r="39" spans="1:11" ht="14.25" x14ac:dyDescent="0.2">
      <c r="A39" s="65"/>
      <c r="B39" s="65"/>
      <c r="C39" s="65"/>
      <c r="D39" s="65"/>
      <c r="E39" s="65"/>
      <c r="F39" s="65"/>
      <c r="G39" s="65"/>
      <c r="H39" s="65"/>
      <c r="I39" s="65"/>
      <c r="J39" s="65"/>
      <c r="K39" s="65"/>
    </row>
    <row r="40" spans="1:11" ht="14.25" x14ac:dyDescent="0.2">
      <c r="A40" s="65"/>
      <c r="B40" s="65"/>
      <c r="C40" s="65"/>
      <c r="D40" s="65"/>
      <c r="E40" s="65"/>
      <c r="F40" s="65"/>
      <c r="G40" s="65"/>
      <c r="H40" s="65"/>
      <c r="I40" s="65"/>
      <c r="J40" s="65"/>
      <c r="K40" s="65"/>
    </row>
    <row r="41" spans="1:11" ht="14.25" x14ac:dyDescent="0.2">
      <c r="A41" s="65"/>
      <c r="B41" s="65"/>
      <c r="C41" s="65"/>
      <c r="D41" s="65"/>
      <c r="E41" s="65"/>
      <c r="F41" s="65"/>
      <c r="G41" s="65"/>
      <c r="H41" s="65"/>
      <c r="I41" s="65"/>
      <c r="J41" s="65"/>
      <c r="K41" s="65"/>
    </row>
    <row r="42" spans="1:11" ht="14.25" x14ac:dyDescent="0.2">
      <c r="A42" s="65"/>
      <c r="B42" s="65"/>
      <c r="C42" s="65"/>
      <c r="D42" s="65"/>
      <c r="E42" s="65"/>
      <c r="F42" s="65"/>
      <c r="G42" s="65"/>
      <c r="H42" s="65"/>
      <c r="I42" s="65"/>
      <c r="J42" s="65"/>
      <c r="K42" s="65"/>
    </row>
    <row r="43" spans="1:11" ht="14.25" x14ac:dyDescent="0.2">
      <c r="A43" s="65"/>
      <c r="B43" s="65"/>
      <c r="C43" s="65"/>
      <c r="D43" s="65"/>
      <c r="E43" s="65"/>
      <c r="F43" s="65"/>
      <c r="G43" s="65"/>
      <c r="H43" s="65"/>
      <c r="I43" s="65"/>
      <c r="J43" s="65"/>
      <c r="K43" s="65"/>
    </row>
    <row r="44" spans="1:11" ht="14.25" x14ac:dyDescent="0.2">
      <c r="A44" s="65"/>
      <c r="B44" s="65"/>
      <c r="C44" s="65"/>
      <c r="D44" s="65"/>
      <c r="E44" s="65"/>
      <c r="F44" s="65"/>
      <c r="G44" s="65"/>
      <c r="H44" s="65"/>
      <c r="I44" s="65"/>
      <c r="J44" s="65"/>
      <c r="K44" s="65"/>
    </row>
    <row r="45" spans="1:11" ht="14.25" x14ac:dyDescent="0.2">
      <c r="A45" s="65"/>
      <c r="B45" s="65"/>
      <c r="C45" s="65"/>
      <c r="D45" s="65"/>
      <c r="E45" s="65"/>
      <c r="F45" s="65"/>
      <c r="G45" s="65"/>
      <c r="H45" s="65"/>
      <c r="I45" s="65"/>
      <c r="J45" s="65"/>
      <c r="K45" s="65"/>
    </row>
    <row r="46" spans="1:11" ht="14.25" x14ac:dyDescent="0.2">
      <c r="A46" s="65"/>
      <c r="B46" s="65"/>
      <c r="C46" s="65"/>
      <c r="D46" s="65"/>
      <c r="E46" s="65"/>
      <c r="F46" s="65"/>
      <c r="G46" s="65"/>
      <c r="H46" s="65"/>
      <c r="I46" s="65"/>
      <c r="J46" s="65"/>
      <c r="K46" s="65"/>
    </row>
    <row r="47" spans="1:11" ht="14.25" x14ac:dyDescent="0.2">
      <c r="A47" s="65"/>
      <c r="B47" s="65"/>
      <c r="C47" s="65"/>
      <c r="D47" s="65"/>
      <c r="E47" s="65"/>
      <c r="F47" s="65"/>
      <c r="G47" s="65"/>
      <c r="H47" s="65"/>
      <c r="I47" s="65"/>
      <c r="J47" s="65"/>
      <c r="K47" s="65"/>
    </row>
  </sheetData>
  <mergeCells count="1">
    <mergeCell ref="C6:D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99"/>
    <pageSetUpPr fitToPage="1"/>
  </sheetPr>
  <dimension ref="A2:H36"/>
  <sheetViews>
    <sheetView showGridLines="0" tabSelected="1" topLeftCell="A9" zoomScale="110" zoomScaleNormal="110" workbookViewId="0">
      <selection activeCell="B18" sqref="B18"/>
    </sheetView>
  </sheetViews>
  <sheetFormatPr defaultRowHeight="14.25" x14ac:dyDescent="0.2"/>
  <cols>
    <col min="1" max="1" width="36.85546875" style="13" customWidth="1"/>
    <col min="2" max="2" width="14.140625" style="13" customWidth="1"/>
    <col min="3" max="3" width="41.5703125" style="13" customWidth="1"/>
    <col min="4" max="4" width="32.140625" style="13" customWidth="1"/>
    <col min="5" max="5" width="6.7109375" style="13" customWidth="1"/>
    <col min="6" max="6" width="27.42578125" style="13" customWidth="1"/>
    <col min="7" max="7" width="9.140625" style="13"/>
    <col min="8" max="8" width="13.140625" style="13" customWidth="1"/>
    <col min="9" max="16384" width="9.140625" style="13"/>
  </cols>
  <sheetData>
    <row r="2" spans="1:8" ht="18" x14ac:dyDescent="0.25">
      <c r="A2" s="38" t="s">
        <v>56</v>
      </c>
      <c r="C2" s="22" t="s">
        <v>61</v>
      </c>
    </row>
    <row r="3" spans="1:8" ht="21" customHeight="1" x14ac:dyDescent="0.25">
      <c r="C3" s="22" t="s">
        <v>58</v>
      </c>
    </row>
    <row r="4" spans="1:8" ht="21" customHeight="1" x14ac:dyDescent="0.25">
      <c r="C4" s="22" t="s">
        <v>60</v>
      </c>
    </row>
    <row r="5" spans="1:8" ht="21" customHeight="1" x14ac:dyDescent="0.25">
      <c r="C5" s="41" t="s">
        <v>94</v>
      </c>
    </row>
    <row r="6" spans="1:8" ht="21" customHeight="1" x14ac:dyDescent="0.25">
      <c r="A6" s="113" t="s">
        <v>108</v>
      </c>
      <c r="C6" s="41" t="s">
        <v>64</v>
      </c>
    </row>
    <row r="7" spans="1:8" ht="21" customHeight="1" x14ac:dyDescent="0.25">
      <c r="C7" s="43" t="s">
        <v>113</v>
      </c>
    </row>
    <row r="8" spans="1:8" ht="31.5" customHeight="1" x14ac:dyDescent="0.25">
      <c r="A8" s="38" t="s">
        <v>112</v>
      </c>
      <c r="C8" s="22" t="s">
        <v>102</v>
      </c>
    </row>
    <row r="9" spans="1:8" ht="21" customHeight="1" x14ac:dyDescent="0.25">
      <c r="C9" s="22" t="s">
        <v>111</v>
      </c>
    </row>
    <row r="10" spans="1:8" ht="21" customHeight="1" x14ac:dyDescent="0.25">
      <c r="C10" s="22" t="s">
        <v>62</v>
      </c>
    </row>
    <row r="11" spans="1:8" ht="15" customHeight="1" x14ac:dyDescent="0.25">
      <c r="C11" s="22" t="s">
        <v>48</v>
      </c>
    </row>
    <row r="12" spans="1:8" ht="30" customHeight="1" x14ac:dyDescent="0.25">
      <c r="A12" s="38" t="s">
        <v>57</v>
      </c>
      <c r="B12" s="38" t="s">
        <v>116</v>
      </c>
    </row>
    <row r="13" spans="1:8" s="79" customFormat="1" ht="29.25" customHeight="1" x14ac:dyDescent="0.25">
      <c r="B13" s="42" t="s">
        <v>19</v>
      </c>
      <c r="C13" s="42" t="s">
        <v>86</v>
      </c>
      <c r="D13" s="42" t="s">
        <v>87</v>
      </c>
      <c r="E13" s="42"/>
      <c r="F13" s="42" t="s">
        <v>92</v>
      </c>
    </row>
    <row r="14" spans="1:8" ht="15" x14ac:dyDescent="0.25">
      <c r="A14" s="24" t="s">
        <v>84</v>
      </c>
      <c r="B14" s="40">
        <f>SUM(B16:B22)</f>
        <v>2077362</v>
      </c>
      <c r="D14" s="106">
        <v>0.5</v>
      </c>
      <c r="H14" s="79"/>
    </row>
    <row r="15" spans="1:8" ht="15" x14ac:dyDescent="0.25">
      <c r="A15" s="17"/>
      <c r="B15" s="2"/>
      <c r="H15" s="79"/>
    </row>
    <row r="16" spans="1:8" ht="15" x14ac:dyDescent="0.25">
      <c r="A16" s="82" t="s">
        <v>13</v>
      </c>
      <c r="B16" s="30">
        <v>586000</v>
      </c>
      <c r="C16" s="37">
        <v>46000</v>
      </c>
      <c r="D16" s="23">
        <f>-C16*$D$14</f>
        <v>-23000</v>
      </c>
      <c r="E16" s="23"/>
      <c r="F16" s="23">
        <f>C16+D16</f>
        <v>23000</v>
      </c>
      <c r="H16" s="79"/>
    </row>
    <row r="17" spans="1:8" ht="15" x14ac:dyDescent="0.25">
      <c r="A17" s="82" t="s">
        <v>12</v>
      </c>
      <c r="B17" s="30">
        <v>458400</v>
      </c>
      <c r="C17" s="37">
        <v>49600</v>
      </c>
      <c r="D17" s="23">
        <f>-C17*$D$14</f>
        <v>-24800</v>
      </c>
      <c r="E17" s="23"/>
      <c r="F17" s="23">
        <f t="shared" ref="F17:F22" si="0">C17+D17</f>
        <v>24800</v>
      </c>
      <c r="H17" s="79"/>
    </row>
    <row r="18" spans="1:8" ht="15" x14ac:dyDescent="0.25">
      <c r="A18" s="82" t="s">
        <v>14</v>
      </c>
      <c r="B18" s="30">
        <v>320000</v>
      </c>
      <c r="C18" s="37">
        <v>52000</v>
      </c>
      <c r="D18" s="23">
        <f>-C18*$D$14</f>
        <v>-26000</v>
      </c>
      <c r="E18" s="23"/>
      <c r="F18" s="23">
        <f t="shared" si="0"/>
        <v>26000</v>
      </c>
      <c r="H18" s="79"/>
    </row>
    <row r="19" spans="1:8" ht="15" x14ac:dyDescent="0.25">
      <c r="A19" s="82" t="s">
        <v>15</v>
      </c>
      <c r="B19" s="30">
        <v>258000</v>
      </c>
      <c r="C19" s="37">
        <v>56800</v>
      </c>
      <c r="D19" s="23">
        <f>-C19*$D$14</f>
        <v>-28400</v>
      </c>
      <c r="E19" s="23"/>
      <c r="F19" s="23">
        <f t="shared" si="0"/>
        <v>28400</v>
      </c>
      <c r="H19" s="79"/>
    </row>
    <row r="20" spans="1:8" ht="15" x14ac:dyDescent="0.25">
      <c r="A20" s="82" t="s">
        <v>16</v>
      </c>
      <c r="B20" s="30">
        <v>248000</v>
      </c>
      <c r="C20" s="37">
        <v>62500</v>
      </c>
      <c r="D20" s="23">
        <f t="shared" ref="D20:D22" si="1">-C20*$D$14</f>
        <v>-31250</v>
      </c>
      <c r="E20" s="23"/>
      <c r="F20" s="23">
        <f t="shared" si="0"/>
        <v>31250</v>
      </c>
      <c r="H20" s="79"/>
    </row>
    <row r="21" spans="1:8" ht="15" x14ac:dyDescent="0.25">
      <c r="A21" s="82" t="s">
        <v>17</v>
      </c>
      <c r="B21" s="30">
        <v>120962</v>
      </c>
      <c r="C21" s="37">
        <v>72000</v>
      </c>
      <c r="D21" s="23">
        <f t="shared" si="1"/>
        <v>-36000</v>
      </c>
      <c r="E21" s="23"/>
      <c r="F21" s="23">
        <f t="shared" si="0"/>
        <v>36000</v>
      </c>
      <c r="H21" s="79"/>
    </row>
    <row r="22" spans="1:8" ht="15" x14ac:dyDescent="0.25">
      <c r="A22" s="82" t="s">
        <v>18</v>
      </c>
      <c r="B22" s="30">
        <v>86000</v>
      </c>
      <c r="C22" s="37">
        <v>81500</v>
      </c>
      <c r="D22" s="23">
        <f t="shared" si="1"/>
        <v>-40750</v>
      </c>
      <c r="E22" s="23"/>
      <c r="F22" s="23">
        <f t="shared" si="0"/>
        <v>40750</v>
      </c>
      <c r="H22" s="79"/>
    </row>
    <row r="23" spans="1:8" x14ac:dyDescent="0.2">
      <c r="A23" s="4"/>
      <c r="B23" s="29"/>
    </row>
    <row r="24" spans="1:8" x14ac:dyDescent="0.2">
      <c r="A24" s="4" t="s">
        <v>8</v>
      </c>
      <c r="B24" s="31">
        <v>2.6499999999999999E-2</v>
      </c>
    </row>
    <row r="25" spans="1:8" x14ac:dyDescent="0.2">
      <c r="A25" s="4" t="s">
        <v>9</v>
      </c>
      <c r="B25" s="36">
        <v>2.1999999999999999E-2</v>
      </c>
    </row>
    <row r="26" spans="1:8" x14ac:dyDescent="0.2">
      <c r="A26" s="4"/>
      <c r="B26" s="1"/>
    </row>
    <row r="27" spans="1:8" x14ac:dyDescent="0.2">
      <c r="A27" s="4" t="s">
        <v>10</v>
      </c>
      <c r="B27" s="32">
        <v>7000</v>
      </c>
    </row>
    <row r="28" spans="1:8" x14ac:dyDescent="0.2">
      <c r="A28" s="4" t="s">
        <v>11</v>
      </c>
      <c r="B28" s="33">
        <v>7</v>
      </c>
      <c r="C28" s="13" t="s">
        <v>49</v>
      </c>
    </row>
    <row r="29" spans="1:8" x14ac:dyDescent="0.2">
      <c r="A29" s="4"/>
      <c r="B29" s="4"/>
    </row>
    <row r="30" spans="1:8" x14ac:dyDescent="0.2">
      <c r="A30" s="4" t="s">
        <v>54</v>
      </c>
      <c r="B30" s="32">
        <v>-750000</v>
      </c>
      <c r="C30" s="92" t="s">
        <v>89</v>
      </c>
    </row>
    <row r="31" spans="1:8" x14ac:dyDescent="0.2">
      <c r="A31" s="4" t="s">
        <v>55</v>
      </c>
      <c r="B31" s="32">
        <v>-120000</v>
      </c>
      <c r="C31" s="92" t="s">
        <v>89</v>
      </c>
    </row>
    <row r="32" spans="1:8" x14ac:dyDescent="0.2">
      <c r="A32" s="4" t="s">
        <v>53</v>
      </c>
      <c r="B32" s="31">
        <v>-0.13</v>
      </c>
      <c r="C32" s="92" t="s">
        <v>91</v>
      </c>
    </row>
    <row r="33" spans="1:3" x14ac:dyDescent="0.2">
      <c r="A33" s="4" t="s">
        <v>47</v>
      </c>
      <c r="B33" s="31">
        <v>0.06</v>
      </c>
      <c r="C33" s="92" t="s">
        <v>90</v>
      </c>
    </row>
    <row r="34" spans="1:3" x14ac:dyDescent="0.2">
      <c r="A34" s="121" t="str">
        <f>'(3)EXEC. SUMMARY&amp;RECOMMENDATION'!D7</f>
        <v>Strong Economy</v>
      </c>
      <c r="B34" s="35">
        <f>'(3)EXEC. SUMMARY&amp;RECOMMENDATION'!E7</f>
        <v>0.08</v>
      </c>
    </row>
    <row r="35" spans="1:3" x14ac:dyDescent="0.2">
      <c r="A35" s="121" t="str">
        <f>'(3)EXEC. SUMMARY&amp;RECOMMENDATION'!D8</f>
        <v>Average Economy</v>
      </c>
      <c r="B35" s="35">
        <f>'(3)EXEC. SUMMARY&amp;RECOMMENDATION'!E8</f>
        <v>0.05</v>
      </c>
    </row>
    <row r="36" spans="1:3" x14ac:dyDescent="0.2">
      <c r="A36" s="121" t="str">
        <f>'(3)EXEC. SUMMARY&amp;RECOMMENDATION'!D9</f>
        <v>Poor Economy</v>
      </c>
      <c r="B36" s="35">
        <f>'(3)EXEC. SUMMARY&amp;RECOMMENDATION'!E9</f>
        <v>0.03</v>
      </c>
    </row>
  </sheetData>
  <printOptions horizontalCentered="1" verticalCentered="1"/>
  <pageMargins left="0.7" right="0.7" top="0.75" bottom="0.75" header="0.3" footer="0.3"/>
  <pageSetup scale="8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N144"/>
  <sheetViews>
    <sheetView showGridLines="0" zoomScale="90" zoomScaleNormal="90" workbookViewId="0">
      <selection activeCell="B124" sqref="B124"/>
    </sheetView>
  </sheetViews>
  <sheetFormatPr defaultRowHeight="14.25" x14ac:dyDescent="0.2"/>
  <cols>
    <col min="1" max="1" width="52.42578125" style="13" customWidth="1"/>
    <col min="2" max="2" width="23.42578125" style="13" bestFit="1" customWidth="1"/>
    <col min="3" max="8" width="22.7109375" style="13" bestFit="1" customWidth="1"/>
    <col min="9" max="9" width="23.42578125" style="13" bestFit="1" customWidth="1"/>
    <col min="10" max="10" width="1.140625" style="13" customWidth="1"/>
    <col min="11" max="16384" width="9.140625" style="13"/>
  </cols>
  <sheetData>
    <row r="1" spans="1:14" ht="27.75" customHeight="1" x14ac:dyDescent="0.3">
      <c r="A1" s="99" t="s">
        <v>95</v>
      </c>
      <c r="B1" s="122">
        <f>'(3)EXEC. SUMMARY&amp;RECOMMENDATION'!E8</f>
        <v>0.05</v>
      </c>
      <c r="C1" s="123" t="s">
        <v>96</v>
      </c>
      <c r="G1" s="113" t="s">
        <v>107</v>
      </c>
    </row>
    <row r="2" spans="1:14" ht="21" customHeight="1" x14ac:dyDescent="0.25">
      <c r="A2" s="96" t="s">
        <v>8</v>
      </c>
      <c r="B2" s="97">
        <f>'(4) ANALYSIS ASSUMPTIONS'!B24</f>
        <v>2.6499999999999999E-2</v>
      </c>
      <c r="C2" s="105"/>
    </row>
    <row r="3" spans="1:14" ht="21" customHeight="1" x14ac:dyDescent="0.25">
      <c r="A3" s="96" t="s">
        <v>9</v>
      </c>
      <c r="B3" s="104">
        <f>'(4) ANALYSIS ASSUMPTIONS'!B25</f>
        <v>2.1999999999999999E-2</v>
      </c>
      <c r="C3" s="105"/>
    </row>
    <row r="4" spans="1:14" ht="21" customHeight="1" x14ac:dyDescent="0.25">
      <c r="A4" s="96"/>
      <c r="B4" s="42"/>
      <c r="C4" s="105"/>
    </row>
    <row r="5" spans="1:14" ht="21" customHeight="1" x14ac:dyDescent="0.25">
      <c r="A5" s="96" t="s">
        <v>97</v>
      </c>
      <c r="B5" s="98">
        <f>'(4) ANALYSIS ASSUMPTIONS'!B27</f>
        <v>7000</v>
      </c>
      <c r="C5" s="105" t="s">
        <v>103</v>
      </c>
    </row>
    <row r="6" spans="1:14" ht="21" customHeight="1" x14ac:dyDescent="0.25">
      <c r="A6" s="96" t="s">
        <v>98</v>
      </c>
      <c r="B6" s="98">
        <f>B5/7</f>
        <v>1000</v>
      </c>
      <c r="C6" s="105"/>
    </row>
    <row r="7" spans="1:14" ht="15.75" x14ac:dyDescent="0.25">
      <c r="A7" s="96"/>
      <c r="B7" s="98"/>
      <c r="C7" s="105"/>
    </row>
    <row r="8" spans="1:14" ht="15.75" x14ac:dyDescent="0.25">
      <c r="A8" s="96" t="s">
        <v>54</v>
      </c>
      <c r="B8" s="98">
        <f>'(4) ANALYSIS ASSUMPTIONS'!B30</f>
        <v>-750000</v>
      </c>
      <c r="C8" s="105" t="s">
        <v>100</v>
      </c>
    </row>
    <row r="9" spans="1:14" ht="15.75" x14ac:dyDescent="0.25">
      <c r="A9" s="96" t="s">
        <v>55</v>
      </c>
      <c r="B9" s="98">
        <f>'(4) ANALYSIS ASSUMPTIONS'!B31</f>
        <v>-120000</v>
      </c>
      <c r="C9" s="105" t="s">
        <v>100</v>
      </c>
    </row>
    <row r="10" spans="1:14" ht="17.25" customHeight="1" x14ac:dyDescent="0.25">
      <c r="A10" s="96" t="s">
        <v>99</v>
      </c>
      <c r="B10" s="97">
        <f>'(4) ANALYSIS ASSUMPTIONS'!B32</f>
        <v>-0.13</v>
      </c>
    </row>
    <row r="11" spans="1:14" ht="17.25" customHeight="1" x14ac:dyDescent="0.25">
      <c r="A11" s="96" t="s">
        <v>47</v>
      </c>
      <c r="B11" s="97">
        <f>'(4) ANALYSIS ASSUMPTIONS'!B33</f>
        <v>0.06</v>
      </c>
    </row>
    <row r="12" spans="1:14" ht="17.25" customHeight="1" thickBot="1" x14ac:dyDescent="0.25"/>
    <row r="13" spans="1:14" ht="15.75" thickBot="1" x14ac:dyDescent="0.3">
      <c r="A13" s="125" t="s">
        <v>34</v>
      </c>
      <c r="B13" s="126"/>
      <c r="C13" s="126"/>
      <c r="D13" s="126"/>
      <c r="E13" s="126"/>
      <c r="F13" s="126"/>
      <c r="G13" s="126"/>
      <c r="H13" s="126"/>
      <c r="I13" s="127"/>
    </row>
    <row r="14" spans="1:14" ht="21.75" customHeight="1" thickBot="1" x14ac:dyDescent="0.3">
      <c r="A14" s="81" t="s">
        <v>85</v>
      </c>
      <c r="B14" s="60" t="s">
        <v>46</v>
      </c>
      <c r="C14" s="60" t="s">
        <v>0</v>
      </c>
      <c r="D14" s="60" t="s">
        <v>1</v>
      </c>
      <c r="E14" s="60" t="s">
        <v>2</v>
      </c>
      <c r="F14" s="60" t="s">
        <v>3</v>
      </c>
      <c r="G14" s="60" t="s">
        <v>4</v>
      </c>
      <c r="H14" s="61" t="s">
        <v>5</v>
      </c>
      <c r="I14" s="62" t="s">
        <v>63</v>
      </c>
    </row>
    <row r="15" spans="1:14" ht="15.75" thickBot="1" x14ac:dyDescent="0.3">
      <c r="A15" s="5" t="s">
        <v>21</v>
      </c>
      <c r="B15" s="50">
        <f>'(4) ANALYSIS ASSUMPTIONS'!B16</f>
        <v>586000</v>
      </c>
      <c r="C15" s="59">
        <f>B15*(1+$B$1)</f>
        <v>615300</v>
      </c>
      <c r="D15" s="59">
        <f t="shared" ref="D15:H15" si="0">C15*(1+$B$1)</f>
        <v>646065</v>
      </c>
      <c r="E15" s="59">
        <f t="shared" si="0"/>
        <v>678368.25</v>
      </c>
      <c r="F15" s="59">
        <f t="shared" si="0"/>
        <v>712286.66249999998</v>
      </c>
      <c r="G15" s="59">
        <f t="shared" si="0"/>
        <v>747900.99562499998</v>
      </c>
      <c r="H15" s="59">
        <f t="shared" si="0"/>
        <v>785296.04540625005</v>
      </c>
      <c r="I15" s="108">
        <f>SUM(B15:H15)</f>
        <v>4771216.9535312504</v>
      </c>
      <c r="K15" s="23"/>
      <c r="L15" s="23"/>
      <c r="M15" s="23"/>
      <c r="N15" s="23"/>
    </row>
    <row r="16" spans="1:14" ht="15.75" thickBot="1" x14ac:dyDescent="0.3">
      <c r="A16" s="5" t="s">
        <v>6</v>
      </c>
      <c r="B16" s="51">
        <f>'(4) ANALYSIS ASSUMPTIONS'!C16</f>
        <v>46000</v>
      </c>
      <c r="C16" s="3">
        <f>B16*(1+$B$2)</f>
        <v>47219</v>
      </c>
      <c r="D16" s="3">
        <f t="shared" ref="D16:H16" si="1">C16*(1+$B$2)</f>
        <v>48470.303500000002</v>
      </c>
      <c r="E16" s="3">
        <f t="shared" si="1"/>
        <v>49754.766542750003</v>
      </c>
      <c r="F16" s="3">
        <f t="shared" si="1"/>
        <v>51073.267856132879</v>
      </c>
      <c r="G16" s="3">
        <f t="shared" si="1"/>
        <v>52426.7094543204</v>
      </c>
      <c r="H16" s="3">
        <f t="shared" si="1"/>
        <v>53816.017254859886</v>
      </c>
      <c r="I16" s="108">
        <f t="shared" ref="I16:I28" si="2">SUM(B16:H16)</f>
        <v>348760.0646080632</v>
      </c>
      <c r="J16" s="23"/>
      <c r="K16" s="23"/>
      <c r="L16" s="23"/>
      <c r="M16" s="23"/>
      <c r="N16" s="23"/>
    </row>
    <row r="17" spans="1:14" ht="15.75" thickBot="1" x14ac:dyDescent="0.3">
      <c r="A17" s="14" t="s">
        <v>37</v>
      </c>
      <c r="B17" s="25">
        <f>B16*B15</f>
        <v>26956000000</v>
      </c>
      <c r="C17" s="25">
        <f t="shared" ref="C17:H17" si="3">C16*C15</f>
        <v>29053850700</v>
      </c>
      <c r="D17" s="25">
        <f t="shared" si="3"/>
        <v>31314966630.727501</v>
      </c>
      <c r="E17" s="25">
        <f t="shared" si="3"/>
        <v>33752053908.76387</v>
      </c>
      <c r="F17" s="25">
        <f t="shared" si="3"/>
        <v>36378807504.213417</v>
      </c>
      <c r="G17" s="25">
        <f t="shared" si="3"/>
        <v>39209988198.228828</v>
      </c>
      <c r="H17" s="25">
        <f t="shared" si="3"/>
        <v>42261505529.755981</v>
      </c>
      <c r="I17" s="108">
        <f t="shared" si="2"/>
        <v>238927172471.68961</v>
      </c>
      <c r="J17" s="23"/>
      <c r="K17" s="23"/>
      <c r="L17" s="23"/>
      <c r="M17" s="23"/>
      <c r="N17" s="23"/>
    </row>
    <row r="18" spans="1:14" ht="15.75" thickBot="1" x14ac:dyDescent="0.3">
      <c r="A18" s="5" t="s">
        <v>7</v>
      </c>
      <c r="B18" s="51">
        <f>$B$6</f>
        <v>1000</v>
      </c>
      <c r="C18" s="51">
        <f t="shared" ref="C18:H18" si="4">$B$6</f>
        <v>1000</v>
      </c>
      <c r="D18" s="51">
        <f t="shared" si="4"/>
        <v>1000</v>
      </c>
      <c r="E18" s="51">
        <f t="shared" si="4"/>
        <v>1000</v>
      </c>
      <c r="F18" s="51">
        <f t="shared" si="4"/>
        <v>1000</v>
      </c>
      <c r="G18" s="51">
        <f t="shared" si="4"/>
        <v>1000</v>
      </c>
      <c r="H18" s="51">
        <f t="shared" si="4"/>
        <v>1000</v>
      </c>
      <c r="I18" s="108">
        <f t="shared" si="2"/>
        <v>7000</v>
      </c>
      <c r="J18" s="23"/>
      <c r="K18" s="23"/>
      <c r="L18" s="23"/>
      <c r="M18" s="23"/>
      <c r="N18" s="23"/>
    </row>
    <row r="19" spans="1:14" ht="15.75" thickBot="1" x14ac:dyDescent="0.3">
      <c r="A19" s="14" t="s">
        <v>38</v>
      </c>
      <c r="B19" s="25">
        <f>B18*B15</f>
        <v>586000000</v>
      </c>
      <c r="C19" s="25">
        <f t="shared" ref="C19:H19" si="5">C18*C15</f>
        <v>615300000</v>
      </c>
      <c r="D19" s="25">
        <f t="shared" si="5"/>
        <v>646065000</v>
      </c>
      <c r="E19" s="25">
        <f t="shared" si="5"/>
        <v>678368250</v>
      </c>
      <c r="F19" s="25">
        <f t="shared" si="5"/>
        <v>712286662.5</v>
      </c>
      <c r="G19" s="25">
        <f t="shared" si="5"/>
        <v>747900995.625</v>
      </c>
      <c r="H19" s="25">
        <f t="shared" si="5"/>
        <v>785296045.40625</v>
      </c>
      <c r="I19" s="108">
        <f t="shared" si="2"/>
        <v>4771216953.53125</v>
      </c>
      <c r="J19" s="23"/>
      <c r="K19" s="23"/>
      <c r="L19" s="23"/>
      <c r="M19" s="23"/>
      <c r="N19" s="23"/>
    </row>
    <row r="20" spans="1:14" ht="15.75" thickBot="1" x14ac:dyDescent="0.3">
      <c r="A20" s="63" t="s">
        <v>36</v>
      </c>
      <c r="B20" s="109">
        <f>SUM(B19,B17)</f>
        <v>27542000000</v>
      </c>
      <c r="C20" s="109">
        <f t="shared" ref="C20:H20" si="6">SUM(C19,C17)</f>
        <v>29669150700</v>
      </c>
      <c r="D20" s="109">
        <f t="shared" si="6"/>
        <v>31961031630.727501</v>
      </c>
      <c r="E20" s="109">
        <f t="shared" si="6"/>
        <v>34430422158.76387</v>
      </c>
      <c r="F20" s="109">
        <f t="shared" si="6"/>
        <v>37091094166.713417</v>
      </c>
      <c r="G20" s="109">
        <f t="shared" si="6"/>
        <v>39957889193.853828</v>
      </c>
      <c r="H20" s="109">
        <f t="shared" si="6"/>
        <v>43046801575.162231</v>
      </c>
      <c r="I20" s="108">
        <f t="shared" si="2"/>
        <v>243698389425.22086</v>
      </c>
      <c r="J20" s="23"/>
      <c r="K20" s="23"/>
      <c r="L20" s="23"/>
      <c r="M20" s="23"/>
      <c r="N20" s="23"/>
    </row>
    <row r="21" spans="1:14" ht="15.75" thickBot="1" x14ac:dyDescent="0.3">
      <c r="A21" s="5" t="s">
        <v>51</v>
      </c>
      <c r="B21" s="51">
        <f>'(4) ANALYSIS ASSUMPTIONS'!D16</f>
        <v>-23000</v>
      </c>
      <c r="C21" s="3">
        <f>B21*(1+$B$3)</f>
        <v>-23506</v>
      </c>
      <c r="D21" s="3">
        <f t="shared" ref="D21:H21" si="7">C21*(1+$B$3)</f>
        <v>-24023.132000000001</v>
      </c>
      <c r="E21" s="3">
        <f t="shared" si="7"/>
        <v>-24551.640904000004</v>
      </c>
      <c r="F21" s="3">
        <f t="shared" si="7"/>
        <v>-25091.777003888004</v>
      </c>
      <c r="G21" s="3">
        <f t="shared" si="7"/>
        <v>-25643.79609797354</v>
      </c>
      <c r="H21" s="3">
        <f t="shared" si="7"/>
        <v>-26207.959612128958</v>
      </c>
      <c r="I21" s="108">
        <f t="shared" si="2"/>
        <v>-172024.3056179905</v>
      </c>
      <c r="J21" s="23"/>
      <c r="K21" s="23"/>
      <c r="L21" s="23"/>
      <c r="M21" s="23"/>
      <c r="N21" s="23"/>
    </row>
    <row r="22" spans="1:14" ht="15.75" thickBot="1" x14ac:dyDescent="0.3">
      <c r="A22" s="14" t="s">
        <v>40</v>
      </c>
      <c r="B22" s="25">
        <f>B21*B15</f>
        <v>-13478000000</v>
      </c>
      <c r="C22" s="25">
        <f t="shared" ref="C22:H22" si="8">C21*C15</f>
        <v>-14463241800</v>
      </c>
      <c r="D22" s="25">
        <f t="shared" si="8"/>
        <v>-15520504775.580002</v>
      </c>
      <c r="E22" s="25">
        <f t="shared" si="8"/>
        <v>-16655053674.6749</v>
      </c>
      <c r="F22" s="25">
        <f t="shared" si="8"/>
        <v>-17872538098.293636</v>
      </c>
      <c r="G22" s="25">
        <f t="shared" si="8"/>
        <v>-19179020633.2789</v>
      </c>
      <c r="H22" s="25">
        <f t="shared" si="8"/>
        <v>-20581007041.57159</v>
      </c>
      <c r="I22" s="108">
        <f t="shared" si="2"/>
        <v>-117749366023.39903</v>
      </c>
      <c r="J22" s="23"/>
      <c r="K22" s="23"/>
      <c r="L22" s="23"/>
      <c r="M22" s="23"/>
      <c r="N22" s="23"/>
    </row>
    <row r="23" spans="1:14" ht="15.75" thickBot="1" x14ac:dyDescent="0.3">
      <c r="A23" s="16" t="s">
        <v>39</v>
      </c>
      <c r="B23" s="25">
        <f>SUM(B20,B22)</f>
        <v>14064000000</v>
      </c>
      <c r="C23" s="25">
        <f t="shared" ref="C23:H23" si="9">SUM(C20,C22)</f>
        <v>15205908900</v>
      </c>
      <c r="D23" s="25">
        <f t="shared" si="9"/>
        <v>16440526855.147499</v>
      </c>
      <c r="E23" s="25">
        <f t="shared" si="9"/>
        <v>17775368484.08897</v>
      </c>
      <c r="F23" s="25">
        <f t="shared" si="9"/>
        <v>19218556068.419781</v>
      </c>
      <c r="G23" s="25">
        <f t="shared" si="9"/>
        <v>20778868560.574928</v>
      </c>
      <c r="H23" s="25">
        <f t="shared" si="9"/>
        <v>22465794533.590641</v>
      </c>
      <c r="I23" s="108">
        <f t="shared" si="2"/>
        <v>125949023401.82181</v>
      </c>
      <c r="J23" s="23"/>
      <c r="K23" s="23"/>
      <c r="L23" s="23"/>
      <c r="M23" s="23"/>
      <c r="N23" s="23"/>
    </row>
    <row r="24" spans="1:14" ht="15.75" thickBot="1" x14ac:dyDescent="0.3">
      <c r="A24" s="5" t="s">
        <v>118</v>
      </c>
      <c r="B24" s="25">
        <f>$B$10*B20</f>
        <v>-3580460000</v>
      </c>
      <c r="C24" s="25">
        <f t="shared" ref="C24:H24" si="10">$B$10*C20</f>
        <v>-3856989591</v>
      </c>
      <c r="D24" s="25">
        <f t="shared" si="10"/>
        <v>-4154934111.994575</v>
      </c>
      <c r="E24" s="25">
        <f t="shared" si="10"/>
        <v>-4475954880.6393032</v>
      </c>
      <c r="F24" s="25">
        <f t="shared" si="10"/>
        <v>-4821842241.6727448</v>
      </c>
      <c r="G24" s="25">
        <f t="shared" si="10"/>
        <v>-5194525595.2009983</v>
      </c>
      <c r="H24" s="25">
        <f t="shared" si="10"/>
        <v>-5596084204.7710905</v>
      </c>
      <c r="I24" s="108">
        <f t="shared" si="2"/>
        <v>-31680790625.278713</v>
      </c>
      <c r="J24" s="23"/>
      <c r="K24" s="23"/>
      <c r="L24" s="23"/>
      <c r="M24" s="23"/>
      <c r="N24" s="23"/>
    </row>
    <row r="25" spans="1:14" ht="15.75" thickBot="1" x14ac:dyDescent="0.3">
      <c r="A25" s="5" t="s">
        <v>41</v>
      </c>
      <c r="B25" s="51">
        <f>$B$8</f>
        <v>-750000</v>
      </c>
      <c r="C25" s="51">
        <f t="shared" ref="C25:H25" si="11">$B$8</f>
        <v>-750000</v>
      </c>
      <c r="D25" s="51">
        <f t="shared" si="11"/>
        <v>-750000</v>
      </c>
      <c r="E25" s="51">
        <f t="shared" si="11"/>
        <v>-750000</v>
      </c>
      <c r="F25" s="51">
        <f t="shared" si="11"/>
        <v>-750000</v>
      </c>
      <c r="G25" s="51">
        <f t="shared" si="11"/>
        <v>-750000</v>
      </c>
      <c r="H25" s="51">
        <f t="shared" si="11"/>
        <v>-750000</v>
      </c>
      <c r="I25" s="108">
        <f t="shared" si="2"/>
        <v>-5250000</v>
      </c>
      <c r="J25" s="23"/>
      <c r="K25" s="23"/>
      <c r="L25" s="23"/>
      <c r="M25" s="23"/>
      <c r="N25" s="23"/>
    </row>
    <row r="26" spans="1:14" ht="15.75" thickBot="1" x14ac:dyDescent="0.3">
      <c r="A26" s="16" t="s">
        <v>42</v>
      </c>
      <c r="B26" s="25">
        <f>B23+B24+B25</f>
        <v>10482790000</v>
      </c>
      <c r="C26" s="25">
        <f t="shared" ref="C26:H26" si="12">C23+C24+C25</f>
        <v>11348169309</v>
      </c>
      <c r="D26" s="25">
        <f t="shared" si="12"/>
        <v>12284842743.152924</v>
      </c>
      <c r="E26" s="25">
        <f t="shared" si="12"/>
        <v>13298663603.449667</v>
      </c>
      <c r="F26" s="25">
        <f t="shared" si="12"/>
        <v>14395963826.747036</v>
      </c>
      <c r="G26" s="25">
        <f t="shared" si="12"/>
        <v>15583592965.37393</v>
      </c>
      <c r="H26" s="25">
        <f t="shared" si="12"/>
        <v>16868960328.81955</v>
      </c>
      <c r="I26" s="108">
        <f t="shared" si="2"/>
        <v>94262982776.543106</v>
      </c>
      <c r="J26" s="23"/>
      <c r="K26" s="23"/>
      <c r="L26" s="23"/>
      <c r="M26" s="23"/>
      <c r="N26" s="23"/>
    </row>
    <row r="27" spans="1:14" ht="15.75" thickBot="1" x14ac:dyDescent="0.3">
      <c r="A27" s="5" t="s">
        <v>50</v>
      </c>
      <c r="B27" s="51">
        <f>$B$9</f>
        <v>-120000</v>
      </c>
      <c r="C27" s="51">
        <f t="shared" ref="C27:H27" si="13">$B$9</f>
        <v>-120000</v>
      </c>
      <c r="D27" s="51">
        <f t="shared" si="13"/>
        <v>-120000</v>
      </c>
      <c r="E27" s="51">
        <f t="shared" si="13"/>
        <v>-120000</v>
      </c>
      <c r="F27" s="51">
        <f t="shared" si="13"/>
        <v>-120000</v>
      </c>
      <c r="G27" s="51">
        <f t="shared" si="13"/>
        <v>-120000</v>
      </c>
      <c r="H27" s="51">
        <f t="shared" si="13"/>
        <v>-120000</v>
      </c>
      <c r="I27" s="108">
        <f t="shared" si="2"/>
        <v>-840000</v>
      </c>
      <c r="J27" s="23"/>
      <c r="K27" s="23"/>
      <c r="L27" s="23"/>
      <c r="M27" s="23"/>
      <c r="N27" s="23"/>
    </row>
    <row r="28" spans="1:14" ht="15" x14ac:dyDescent="0.25">
      <c r="A28" s="16" t="s">
        <v>44</v>
      </c>
      <c r="B28" s="107">
        <f>B26+B27</f>
        <v>10482670000</v>
      </c>
      <c r="C28" s="107">
        <f t="shared" ref="C28:H28" si="14">C26+C27</f>
        <v>11348049309</v>
      </c>
      <c r="D28" s="107">
        <f t="shared" si="14"/>
        <v>12284722743.152924</v>
      </c>
      <c r="E28" s="107">
        <f t="shared" si="14"/>
        <v>13298543603.449667</v>
      </c>
      <c r="F28" s="107">
        <f t="shared" si="14"/>
        <v>14395843826.747036</v>
      </c>
      <c r="G28" s="107">
        <f t="shared" si="14"/>
        <v>15583472965.37393</v>
      </c>
      <c r="H28" s="107">
        <f t="shared" si="14"/>
        <v>16868840328.81955</v>
      </c>
      <c r="I28" s="108">
        <f t="shared" si="2"/>
        <v>94262142776.543106</v>
      </c>
      <c r="J28" s="23"/>
      <c r="K28" s="23"/>
      <c r="L28" s="23"/>
      <c r="M28" s="23"/>
      <c r="N28" s="23"/>
    </row>
    <row r="29" spans="1:14" ht="15.75" thickBot="1" x14ac:dyDescent="0.3">
      <c r="A29" s="6" t="s">
        <v>20</v>
      </c>
      <c r="B29" s="52">
        <f>B28</f>
        <v>10482670000</v>
      </c>
      <c r="C29" s="52">
        <f t="shared" ref="C29:H29" si="15">C28</f>
        <v>11348049309</v>
      </c>
      <c r="D29" s="52">
        <f t="shared" si="15"/>
        <v>12284722743.152924</v>
      </c>
      <c r="E29" s="52">
        <f t="shared" si="15"/>
        <v>13298543603.449667</v>
      </c>
      <c r="F29" s="52">
        <f t="shared" si="15"/>
        <v>14395843826.747036</v>
      </c>
      <c r="G29" s="52">
        <f t="shared" si="15"/>
        <v>15583472965.37393</v>
      </c>
      <c r="H29" s="52">
        <f t="shared" si="15"/>
        <v>16868840328.81955</v>
      </c>
      <c r="I29" s="53">
        <f>SUM(B29:H29)</f>
        <v>94262142776.543106</v>
      </c>
    </row>
    <row r="30" spans="1:14" ht="16.5" thickTop="1" thickBot="1" x14ac:dyDescent="0.3">
      <c r="A30" s="54"/>
      <c r="B30" s="55"/>
      <c r="C30" s="55"/>
      <c r="D30" s="55"/>
      <c r="E30" s="55"/>
      <c r="F30" s="55"/>
      <c r="G30" s="55"/>
      <c r="H30" s="55"/>
      <c r="I30" s="56"/>
    </row>
    <row r="31" spans="1:14" ht="16.5" thickBot="1" x14ac:dyDescent="0.3">
      <c r="A31" s="80" t="str">
        <f>A14</f>
        <v>Average Case Scenario (5% Growth)</v>
      </c>
      <c r="B31" s="60" t="s">
        <v>46</v>
      </c>
      <c r="C31" s="60" t="s">
        <v>0</v>
      </c>
      <c r="D31" s="60" t="s">
        <v>1</v>
      </c>
      <c r="E31" s="60" t="s">
        <v>2</v>
      </c>
      <c r="F31" s="60" t="s">
        <v>3</v>
      </c>
      <c r="G31" s="60" t="s">
        <v>4</v>
      </c>
      <c r="H31" s="61" t="s">
        <v>5</v>
      </c>
      <c r="I31" s="62" t="s">
        <v>63</v>
      </c>
    </row>
    <row r="32" spans="1:14" ht="15.75" thickBot="1" x14ac:dyDescent="0.3">
      <c r="A32" s="5" t="s">
        <v>22</v>
      </c>
      <c r="B32" s="124">
        <f>'(4) ANALYSIS ASSUMPTIONS'!B17</f>
        <v>458400</v>
      </c>
      <c r="C32" s="124">
        <f>B32*(1+$B$1)</f>
        <v>481320</v>
      </c>
      <c r="D32" s="124">
        <f t="shared" ref="D32:H32" si="16">C32*(1+$B$1)</f>
        <v>505386</v>
      </c>
      <c r="E32" s="124">
        <f t="shared" si="16"/>
        <v>530655.30000000005</v>
      </c>
      <c r="F32" s="124">
        <f t="shared" si="16"/>
        <v>557188.06500000006</v>
      </c>
      <c r="G32" s="124">
        <f t="shared" si="16"/>
        <v>585047.46825000003</v>
      </c>
      <c r="H32" s="124">
        <f t="shared" si="16"/>
        <v>614299.84166250005</v>
      </c>
      <c r="I32" s="108">
        <f>SUM(B32:H32)</f>
        <v>3732296.6749125002</v>
      </c>
    </row>
    <row r="33" spans="1:9" ht="15.75" thickBot="1" x14ac:dyDescent="0.3">
      <c r="A33" s="5" t="s">
        <v>6</v>
      </c>
      <c r="B33" s="25">
        <f>'(4) ANALYSIS ASSUMPTIONS'!C17</f>
        <v>49600</v>
      </c>
      <c r="C33" s="25">
        <f>B33*(1+$B$2)</f>
        <v>50914.400000000001</v>
      </c>
      <c r="D33" s="25">
        <f t="shared" ref="D33:H33" si="17">C33*(1+$B$2)</f>
        <v>52263.631600000001</v>
      </c>
      <c r="E33" s="25">
        <f t="shared" si="17"/>
        <v>53648.617837400001</v>
      </c>
      <c r="F33" s="25">
        <f t="shared" si="17"/>
        <v>55070.306210091097</v>
      </c>
      <c r="G33" s="25">
        <f t="shared" si="17"/>
        <v>56529.669324658513</v>
      </c>
      <c r="H33" s="25">
        <f t="shared" si="17"/>
        <v>58027.705561761963</v>
      </c>
      <c r="I33" s="108">
        <f t="shared" ref="I33:I45" si="18">SUM(B33:H33)</f>
        <v>376054.33053391159</v>
      </c>
    </row>
    <row r="34" spans="1:9" ht="15.75" thickBot="1" x14ac:dyDescent="0.3">
      <c r="A34" s="14" t="s">
        <v>37</v>
      </c>
      <c r="B34" s="25">
        <f>B32*B33</f>
        <v>22736640000</v>
      </c>
      <c r="C34" s="25">
        <f t="shared" ref="C34:H34" si="19">C32*C33</f>
        <v>24506119008</v>
      </c>
      <c r="D34" s="25">
        <f t="shared" si="19"/>
        <v>26413307719.7976</v>
      </c>
      <c r="E34" s="25">
        <f t="shared" si="19"/>
        <v>28468923393.090851</v>
      </c>
      <c r="F34" s="25">
        <f t="shared" si="19"/>
        <v>30684517356.158146</v>
      </c>
      <c r="G34" s="25">
        <f t="shared" si="19"/>
        <v>33072539919.401154</v>
      </c>
      <c r="H34" s="25">
        <f t="shared" si="19"/>
        <v>35646410338.628548</v>
      </c>
      <c r="I34" s="108">
        <f t="shared" si="18"/>
        <v>201528457735.07629</v>
      </c>
    </row>
    <row r="35" spans="1:9" ht="15.75" thickBot="1" x14ac:dyDescent="0.3">
      <c r="A35" s="5" t="s">
        <v>7</v>
      </c>
      <c r="B35" s="25">
        <f>$B$6</f>
        <v>1000</v>
      </c>
      <c r="C35" s="25">
        <f t="shared" ref="C35:H35" si="20">$B$6</f>
        <v>1000</v>
      </c>
      <c r="D35" s="25">
        <f t="shared" si="20"/>
        <v>1000</v>
      </c>
      <c r="E35" s="25">
        <f t="shared" si="20"/>
        <v>1000</v>
      </c>
      <c r="F35" s="25">
        <f t="shared" si="20"/>
        <v>1000</v>
      </c>
      <c r="G35" s="25">
        <f t="shared" si="20"/>
        <v>1000</v>
      </c>
      <c r="H35" s="25">
        <f t="shared" si="20"/>
        <v>1000</v>
      </c>
      <c r="I35" s="108">
        <f t="shared" si="18"/>
        <v>7000</v>
      </c>
    </row>
    <row r="36" spans="1:9" ht="15.75" thickBot="1" x14ac:dyDescent="0.3">
      <c r="A36" s="14" t="s">
        <v>38</v>
      </c>
      <c r="B36" s="25">
        <f>B35*B32</f>
        <v>458400000</v>
      </c>
      <c r="C36" s="25">
        <f t="shared" ref="C36:H36" si="21">C35*C32</f>
        <v>481320000</v>
      </c>
      <c r="D36" s="25">
        <f t="shared" si="21"/>
        <v>505386000</v>
      </c>
      <c r="E36" s="25">
        <f t="shared" si="21"/>
        <v>530655300.00000006</v>
      </c>
      <c r="F36" s="25">
        <f t="shared" si="21"/>
        <v>557188065.00000012</v>
      </c>
      <c r="G36" s="25">
        <f t="shared" si="21"/>
        <v>585047468.25</v>
      </c>
      <c r="H36" s="25">
        <f t="shared" si="21"/>
        <v>614299841.66250002</v>
      </c>
      <c r="I36" s="108">
        <f t="shared" si="18"/>
        <v>3732296674.9124999</v>
      </c>
    </row>
    <row r="37" spans="1:9" ht="15.75" thickBot="1" x14ac:dyDescent="0.3">
      <c r="A37" s="15" t="s">
        <v>36</v>
      </c>
      <c r="B37" s="25">
        <f>B36+B34</f>
        <v>23195040000</v>
      </c>
      <c r="C37" s="25">
        <f t="shared" ref="C37:H37" si="22">C36+C34</f>
        <v>24987439008</v>
      </c>
      <c r="D37" s="25">
        <f t="shared" si="22"/>
        <v>26918693719.7976</v>
      </c>
      <c r="E37" s="25">
        <f t="shared" si="22"/>
        <v>28999578693.090851</v>
      </c>
      <c r="F37" s="25">
        <f t="shared" si="22"/>
        <v>31241705421.158146</v>
      </c>
      <c r="G37" s="25">
        <f t="shared" si="22"/>
        <v>33657587387.651154</v>
      </c>
      <c r="H37" s="25">
        <f t="shared" si="22"/>
        <v>36260710180.291046</v>
      </c>
      <c r="I37" s="108">
        <f t="shared" si="18"/>
        <v>205260754409.9888</v>
      </c>
    </row>
    <row r="38" spans="1:9" ht="15.75" thickBot="1" x14ac:dyDescent="0.3">
      <c r="A38" s="5" t="str">
        <f>A21</f>
        <v>Cost to Build and Sell (50%)</v>
      </c>
      <c r="B38" s="25">
        <f>'(4) ANALYSIS ASSUMPTIONS'!D17</f>
        <v>-24800</v>
      </c>
      <c r="C38" s="25">
        <f>B38*(1+$B$3)</f>
        <v>-25345.600000000002</v>
      </c>
      <c r="D38" s="25">
        <f t="shared" ref="D38:H38" si="23">C38*(1+$B$3)</f>
        <v>-25903.203200000004</v>
      </c>
      <c r="E38" s="25">
        <f t="shared" si="23"/>
        <v>-26473.073670400005</v>
      </c>
      <c r="F38" s="25">
        <f t="shared" si="23"/>
        <v>-27055.481291148804</v>
      </c>
      <c r="G38" s="25">
        <f t="shared" si="23"/>
        <v>-27650.701879554079</v>
      </c>
      <c r="H38" s="25">
        <f t="shared" si="23"/>
        <v>-28259.01732090427</v>
      </c>
      <c r="I38" s="108">
        <f t="shared" si="18"/>
        <v>-185487.07736200717</v>
      </c>
    </row>
    <row r="39" spans="1:9" ht="15.75" thickBot="1" x14ac:dyDescent="0.3">
      <c r="A39" s="14" t="s">
        <v>40</v>
      </c>
      <c r="B39" s="25">
        <f>B38*B32</f>
        <v>-11368320000</v>
      </c>
      <c r="C39" s="25">
        <f t="shared" ref="C39:H39" si="24">C38*C32</f>
        <v>-12199344192.000002</v>
      </c>
      <c r="D39" s="25">
        <f t="shared" si="24"/>
        <v>-13091116252.435202</v>
      </c>
      <c r="E39" s="25">
        <f t="shared" si="24"/>
        <v>-14048076850.488216</v>
      </c>
      <c r="F39" s="25">
        <f t="shared" si="24"/>
        <v>-15074991268.258905</v>
      </c>
      <c r="G39" s="25">
        <f t="shared" si="24"/>
        <v>-16176973129.968632</v>
      </c>
      <c r="H39" s="25">
        <f t="shared" si="24"/>
        <v>-17359509865.769341</v>
      </c>
      <c r="I39" s="108">
        <f t="shared" si="18"/>
        <v>-99318331558.920288</v>
      </c>
    </row>
    <row r="40" spans="1:9" ht="15.75" thickBot="1" x14ac:dyDescent="0.3">
      <c r="A40" s="16" t="s">
        <v>39</v>
      </c>
      <c r="B40" s="25">
        <f>B37+B39</f>
        <v>11826720000</v>
      </c>
      <c r="C40" s="25">
        <f t="shared" ref="C40:H40" si="25">C37+C39</f>
        <v>12788094815.999998</v>
      </c>
      <c r="D40" s="25">
        <f t="shared" si="25"/>
        <v>13827577467.362398</v>
      </c>
      <c r="E40" s="25">
        <f t="shared" si="25"/>
        <v>14951501842.602634</v>
      </c>
      <c r="F40" s="25">
        <f t="shared" si="25"/>
        <v>16166714152.89924</v>
      </c>
      <c r="G40" s="25">
        <f t="shared" si="25"/>
        <v>17480614257.682522</v>
      </c>
      <c r="H40" s="25">
        <f t="shared" si="25"/>
        <v>18901200314.521706</v>
      </c>
      <c r="I40" s="108">
        <f t="shared" si="18"/>
        <v>105942422851.06851</v>
      </c>
    </row>
    <row r="41" spans="1:9" ht="15.75" thickBot="1" x14ac:dyDescent="0.3">
      <c r="A41" s="5" t="str">
        <f>A24</f>
        <v>G&amp;A Expenses (13% of Revenue)</v>
      </c>
      <c r="B41" s="25">
        <f>B37*$B$10</f>
        <v>-3015355200</v>
      </c>
      <c r="C41" s="25">
        <f t="shared" ref="C41:H41" si="26">C37*$B$10</f>
        <v>-3248367071.04</v>
      </c>
      <c r="D41" s="25">
        <f t="shared" si="26"/>
        <v>-3499430183.573688</v>
      </c>
      <c r="E41" s="25">
        <f t="shared" si="26"/>
        <v>-3769945230.1018109</v>
      </c>
      <c r="F41" s="25">
        <f t="shared" si="26"/>
        <v>-4061421704.7505593</v>
      </c>
      <c r="G41" s="25">
        <f t="shared" si="26"/>
        <v>-4375486360.3946505</v>
      </c>
      <c r="H41" s="25">
        <f t="shared" si="26"/>
        <v>-4713892323.4378357</v>
      </c>
      <c r="I41" s="108">
        <f t="shared" si="18"/>
        <v>-26683898073.298542</v>
      </c>
    </row>
    <row r="42" spans="1:9" ht="15.75" thickBot="1" x14ac:dyDescent="0.3">
      <c r="A42" s="5" t="s">
        <v>41</v>
      </c>
      <c r="B42" s="25">
        <f>$B$8</f>
        <v>-750000</v>
      </c>
      <c r="C42" s="25">
        <f t="shared" ref="C42:H42" si="27">$B$8</f>
        <v>-750000</v>
      </c>
      <c r="D42" s="25">
        <f t="shared" si="27"/>
        <v>-750000</v>
      </c>
      <c r="E42" s="25">
        <f t="shared" si="27"/>
        <v>-750000</v>
      </c>
      <c r="F42" s="25">
        <f t="shared" si="27"/>
        <v>-750000</v>
      </c>
      <c r="G42" s="25">
        <f t="shared" si="27"/>
        <v>-750000</v>
      </c>
      <c r="H42" s="25">
        <f t="shared" si="27"/>
        <v>-750000</v>
      </c>
      <c r="I42" s="108">
        <f t="shared" si="18"/>
        <v>-5250000</v>
      </c>
    </row>
    <row r="43" spans="1:9" ht="15.75" thickBot="1" x14ac:dyDescent="0.3">
      <c r="A43" s="16" t="s">
        <v>42</v>
      </c>
      <c r="B43" s="25">
        <f>B40+B41+B42</f>
        <v>8810614800</v>
      </c>
      <c r="C43" s="25">
        <f t="shared" ref="C43:H43" si="28">C40+C41+C42</f>
        <v>9538977744.9599991</v>
      </c>
      <c r="D43" s="25">
        <f t="shared" si="28"/>
        <v>10327397283.78871</v>
      </c>
      <c r="E43" s="25">
        <f t="shared" si="28"/>
        <v>11180806612.500824</v>
      </c>
      <c r="F43" s="25">
        <f t="shared" si="28"/>
        <v>12104542448.148682</v>
      </c>
      <c r="G43" s="25">
        <f t="shared" si="28"/>
        <v>13104377897.287872</v>
      </c>
      <c r="H43" s="25">
        <f t="shared" si="28"/>
        <v>14186557991.08387</v>
      </c>
      <c r="I43" s="108">
        <f t="shared" si="18"/>
        <v>79253274777.769958</v>
      </c>
    </row>
    <row r="44" spans="1:9" ht="15.75" thickBot="1" x14ac:dyDescent="0.3">
      <c r="A44" s="5" t="s">
        <v>43</v>
      </c>
      <c r="B44" s="25">
        <f>$B$9</f>
        <v>-120000</v>
      </c>
      <c r="C44" s="25">
        <f t="shared" ref="C44:H44" si="29">$B$9</f>
        <v>-120000</v>
      </c>
      <c r="D44" s="25">
        <f t="shared" si="29"/>
        <v>-120000</v>
      </c>
      <c r="E44" s="25">
        <f t="shared" si="29"/>
        <v>-120000</v>
      </c>
      <c r="F44" s="25">
        <f t="shared" si="29"/>
        <v>-120000</v>
      </c>
      <c r="G44" s="25">
        <f t="shared" si="29"/>
        <v>-120000</v>
      </c>
      <c r="H44" s="25">
        <f t="shared" si="29"/>
        <v>-120000</v>
      </c>
      <c r="I44" s="108">
        <f t="shared" si="18"/>
        <v>-840000</v>
      </c>
    </row>
    <row r="45" spans="1:9" ht="15" x14ac:dyDescent="0.25">
      <c r="A45" s="16" t="s">
        <v>44</v>
      </c>
      <c r="B45" s="25">
        <f>B43+B44</f>
        <v>8810494800</v>
      </c>
      <c r="C45" s="25">
        <f t="shared" ref="C45:H45" si="30">C43+C44</f>
        <v>9538857744.9599991</v>
      </c>
      <c r="D45" s="25">
        <f t="shared" si="30"/>
        <v>10327277283.78871</v>
      </c>
      <c r="E45" s="25">
        <f t="shared" si="30"/>
        <v>11180686612.500824</v>
      </c>
      <c r="F45" s="25">
        <f t="shared" si="30"/>
        <v>12104422448.148682</v>
      </c>
      <c r="G45" s="25">
        <f t="shared" si="30"/>
        <v>13104257897.287872</v>
      </c>
      <c r="H45" s="25">
        <f t="shared" si="30"/>
        <v>14186437991.08387</v>
      </c>
      <c r="I45" s="108">
        <f t="shared" si="18"/>
        <v>79252434777.769958</v>
      </c>
    </row>
    <row r="46" spans="1:9" ht="15.75" thickBot="1" x14ac:dyDescent="0.3">
      <c r="A46" s="6" t="s">
        <v>28</v>
      </c>
      <c r="B46" s="52">
        <f>B45</f>
        <v>8810494800</v>
      </c>
      <c r="C46" s="52">
        <f t="shared" ref="C46:H46" si="31">C45</f>
        <v>9538857744.9599991</v>
      </c>
      <c r="D46" s="52">
        <f t="shared" si="31"/>
        <v>10327277283.78871</v>
      </c>
      <c r="E46" s="52">
        <f t="shared" si="31"/>
        <v>11180686612.500824</v>
      </c>
      <c r="F46" s="52">
        <f t="shared" si="31"/>
        <v>12104422448.148682</v>
      </c>
      <c r="G46" s="52">
        <f t="shared" si="31"/>
        <v>13104257897.287872</v>
      </c>
      <c r="H46" s="52">
        <f t="shared" si="31"/>
        <v>14186437991.08387</v>
      </c>
      <c r="I46" s="53">
        <f>SUM(B46:H46)</f>
        <v>79252434777.769958</v>
      </c>
    </row>
    <row r="47" spans="1:9" ht="15.75" thickTop="1" thickBot="1" x14ac:dyDescent="0.25">
      <c r="A47" s="57"/>
      <c r="B47" s="57"/>
      <c r="C47" s="57"/>
      <c r="D47" s="57"/>
      <c r="E47" s="57"/>
      <c r="F47" s="57"/>
      <c r="G47" s="57"/>
      <c r="H47" s="57"/>
      <c r="I47" s="57"/>
    </row>
    <row r="48" spans="1:9" ht="16.5" thickBot="1" x14ac:dyDescent="0.3">
      <c r="A48" s="80" t="str">
        <f>A31</f>
        <v>Average Case Scenario (5% Growth)</v>
      </c>
      <c r="B48" s="60" t="s">
        <v>46</v>
      </c>
      <c r="C48" s="60" t="s">
        <v>0</v>
      </c>
      <c r="D48" s="60" t="s">
        <v>1</v>
      </c>
      <c r="E48" s="60" t="s">
        <v>2</v>
      </c>
      <c r="F48" s="60" t="s">
        <v>3</v>
      </c>
      <c r="G48" s="60" t="s">
        <v>4</v>
      </c>
      <c r="H48" s="61" t="s">
        <v>5</v>
      </c>
      <c r="I48" s="62" t="s">
        <v>63</v>
      </c>
    </row>
    <row r="49" spans="1:11" ht="15.75" thickBot="1" x14ac:dyDescent="0.3">
      <c r="A49" s="5" t="s">
        <v>23</v>
      </c>
      <c r="B49" s="50">
        <f>'(4) ANALYSIS ASSUMPTIONS'!B18</f>
        <v>320000</v>
      </c>
      <c r="C49" s="59">
        <f>B49*(1+$B$1)</f>
        <v>336000</v>
      </c>
      <c r="D49" s="59">
        <f t="shared" ref="D49:H49" si="32">C49*(1+$B$1)</f>
        <v>352800</v>
      </c>
      <c r="E49" s="59">
        <f t="shared" si="32"/>
        <v>370440</v>
      </c>
      <c r="F49" s="59">
        <f t="shared" si="32"/>
        <v>388962</v>
      </c>
      <c r="G49" s="59">
        <f t="shared" si="32"/>
        <v>408410.10000000003</v>
      </c>
      <c r="H49" s="59">
        <f t="shared" si="32"/>
        <v>428830.60500000004</v>
      </c>
      <c r="I49" s="108">
        <f>SUM(B49:H49)</f>
        <v>2605442.7050000001</v>
      </c>
    </row>
    <row r="50" spans="1:11" ht="15.75" thickBot="1" x14ac:dyDescent="0.3">
      <c r="A50" s="5" t="s">
        <v>6</v>
      </c>
      <c r="B50" s="51">
        <f>'(4) ANALYSIS ASSUMPTIONS'!C18</f>
        <v>52000</v>
      </c>
      <c r="C50" s="3">
        <f>B50*(1+$B$2)</f>
        <v>53378</v>
      </c>
      <c r="D50" s="3">
        <f t="shared" ref="D50:H50" si="33">C50*(1+$B$2)</f>
        <v>54792.517</v>
      </c>
      <c r="E50" s="3">
        <f t="shared" si="33"/>
        <v>56244.518700499997</v>
      </c>
      <c r="F50" s="3">
        <f t="shared" si="33"/>
        <v>57734.998446063248</v>
      </c>
      <c r="G50" s="3">
        <f t="shared" si="33"/>
        <v>59264.975904883919</v>
      </c>
      <c r="H50" s="3">
        <f t="shared" si="33"/>
        <v>60835.49776636334</v>
      </c>
      <c r="I50" s="108">
        <f t="shared" ref="I50:I62" si="34">SUM(B50:H50)</f>
        <v>394250.50781781046</v>
      </c>
      <c r="J50" s="23"/>
      <c r="K50" s="23"/>
    </row>
    <row r="51" spans="1:11" ht="15.75" thickBot="1" x14ac:dyDescent="0.3">
      <c r="A51" s="14" t="s">
        <v>37</v>
      </c>
      <c r="B51" s="25">
        <f>B50*B49</f>
        <v>16640000000</v>
      </c>
      <c r="C51" s="25">
        <f t="shared" ref="C51" si="35">C50*C49</f>
        <v>17935008000</v>
      </c>
      <c r="D51" s="25">
        <f t="shared" ref="D51" si="36">D50*D49</f>
        <v>19330799997.599998</v>
      </c>
      <c r="E51" s="25">
        <f t="shared" ref="E51" si="37">E50*E49</f>
        <v>20835219507.413219</v>
      </c>
      <c r="F51" s="25">
        <f t="shared" ref="F51" si="38">F50*F49</f>
        <v>22456720465.577652</v>
      </c>
      <c r="G51" s="25">
        <f t="shared" ref="G51" si="39">G50*G49</f>
        <v>24204414735.811234</v>
      </c>
      <c r="H51" s="25">
        <f t="shared" ref="H51" si="40">H50*H49</f>
        <v>26088123312.625744</v>
      </c>
      <c r="I51" s="108">
        <f t="shared" si="34"/>
        <v>147490286019.02783</v>
      </c>
      <c r="J51" s="23"/>
      <c r="K51" s="23"/>
    </row>
    <row r="52" spans="1:11" ht="15.75" thickBot="1" x14ac:dyDescent="0.3">
      <c r="A52" s="5" t="s">
        <v>7</v>
      </c>
      <c r="B52" s="51">
        <f>$B$6</f>
        <v>1000</v>
      </c>
      <c r="C52" s="51">
        <f t="shared" ref="C52:H52" si="41">$B$6</f>
        <v>1000</v>
      </c>
      <c r="D52" s="51">
        <f t="shared" si="41"/>
        <v>1000</v>
      </c>
      <c r="E52" s="51">
        <f t="shared" si="41"/>
        <v>1000</v>
      </c>
      <c r="F52" s="51">
        <f t="shared" si="41"/>
        <v>1000</v>
      </c>
      <c r="G52" s="51">
        <f t="shared" si="41"/>
        <v>1000</v>
      </c>
      <c r="H52" s="51">
        <f t="shared" si="41"/>
        <v>1000</v>
      </c>
      <c r="I52" s="108">
        <f t="shared" si="34"/>
        <v>7000</v>
      </c>
      <c r="J52" s="23"/>
      <c r="K52" s="23"/>
    </row>
    <row r="53" spans="1:11" ht="15.75" thickBot="1" x14ac:dyDescent="0.3">
      <c r="A53" s="14" t="s">
        <v>38</v>
      </c>
      <c r="B53" s="25">
        <f>B52*B49</f>
        <v>320000000</v>
      </c>
      <c r="C53" s="25">
        <f t="shared" ref="C53" si="42">C52*C49</f>
        <v>336000000</v>
      </c>
      <c r="D53" s="25">
        <f t="shared" ref="D53" si="43">D52*D49</f>
        <v>352800000</v>
      </c>
      <c r="E53" s="25">
        <f t="shared" ref="E53" si="44">E52*E49</f>
        <v>370440000</v>
      </c>
      <c r="F53" s="25">
        <f t="shared" ref="F53" si="45">F52*F49</f>
        <v>388962000</v>
      </c>
      <c r="G53" s="25">
        <f t="shared" ref="G53" si="46">G52*G49</f>
        <v>408410100.00000006</v>
      </c>
      <c r="H53" s="25">
        <f t="shared" ref="H53" si="47">H52*H49</f>
        <v>428830605.00000006</v>
      </c>
      <c r="I53" s="108">
        <f t="shared" si="34"/>
        <v>2605442705</v>
      </c>
      <c r="J53" s="23"/>
      <c r="K53" s="23"/>
    </row>
    <row r="54" spans="1:11" ht="15.75" thickBot="1" x14ac:dyDescent="0.3">
      <c r="A54" s="15" t="s">
        <v>36</v>
      </c>
      <c r="B54" s="109">
        <f>SUM(B53,B51)</f>
        <v>16960000000</v>
      </c>
      <c r="C54" s="109">
        <f t="shared" ref="C54" si="48">SUM(C53,C51)</f>
        <v>18271008000</v>
      </c>
      <c r="D54" s="109">
        <f t="shared" ref="D54" si="49">SUM(D53,D51)</f>
        <v>19683599997.599998</v>
      </c>
      <c r="E54" s="109">
        <f t="shared" ref="E54" si="50">SUM(E53,E51)</f>
        <v>21205659507.413219</v>
      </c>
      <c r="F54" s="109">
        <f t="shared" ref="F54" si="51">SUM(F53,F51)</f>
        <v>22845682465.577652</v>
      </c>
      <c r="G54" s="109">
        <f t="shared" ref="G54" si="52">SUM(G53,G51)</f>
        <v>24612824835.811234</v>
      </c>
      <c r="H54" s="109">
        <f t="shared" ref="H54" si="53">SUM(H53,H51)</f>
        <v>26516953917.625744</v>
      </c>
      <c r="I54" s="108">
        <f t="shared" si="34"/>
        <v>150095728724.02783</v>
      </c>
      <c r="J54" s="23"/>
      <c r="K54" s="23"/>
    </row>
    <row r="55" spans="1:11" ht="15.75" thickBot="1" x14ac:dyDescent="0.3">
      <c r="A55" s="5" t="str">
        <f>A38</f>
        <v>Cost to Build and Sell (50%)</v>
      </c>
      <c r="B55" s="51">
        <f>'(4) ANALYSIS ASSUMPTIONS'!D18</f>
        <v>-26000</v>
      </c>
      <c r="C55" s="3">
        <f>B55*(1+$B$3)</f>
        <v>-26572</v>
      </c>
      <c r="D55" s="3">
        <f t="shared" ref="D55:H55" si="54">C55*(1+$B$3)</f>
        <v>-27156.583999999999</v>
      </c>
      <c r="E55" s="3">
        <f t="shared" si="54"/>
        <v>-27754.028847999998</v>
      </c>
      <c r="F55" s="3">
        <f t="shared" si="54"/>
        <v>-28364.617482655998</v>
      </c>
      <c r="G55" s="3">
        <f t="shared" si="54"/>
        <v>-28988.639067274431</v>
      </c>
      <c r="H55" s="3">
        <f t="shared" si="54"/>
        <v>-29626.389126754468</v>
      </c>
      <c r="I55" s="108">
        <f t="shared" si="34"/>
        <v>-194462.25852468488</v>
      </c>
      <c r="J55" s="23"/>
      <c r="K55" s="23"/>
    </row>
    <row r="56" spans="1:11" ht="15.75" thickBot="1" x14ac:dyDescent="0.3">
      <c r="A56" s="14" t="s">
        <v>40</v>
      </c>
      <c r="B56" s="25">
        <f>B55*B49</f>
        <v>-8320000000</v>
      </c>
      <c r="C56" s="25">
        <f t="shared" ref="C56" si="55">C55*C49</f>
        <v>-8928192000</v>
      </c>
      <c r="D56" s="25">
        <f t="shared" ref="D56" si="56">D55*D49</f>
        <v>-9580842835.1999989</v>
      </c>
      <c r="E56" s="25">
        <f t="shared" ref="E56" si="57">E55*E49</f>
        <v>-10281202446.453119</v>
      </c>
      <c r="F56" s="25">
        <f t="shared" ref="F56" si="58">F55*F49</f>
        <v>-11032758345.288843</v>
      </c>
      <c r="G56" s="25">
        <f t="shared" ref="G56" si="59">G55*G49</f>
        <v>-11839252980.329458</v>
      </c>
      <c r="H56" s="25">
        <f t="shared" ref="H56" si="60">H55*H49</f>
        <v>-12704702373.191542</v>
      </c>
      <c r="I56" s="108">
        <f t="shared" si="34"/>
        <v>-72686950980.462952</v>
      </c>
      <c r="J56" s="23"/>
      <c r="K56" s="23"/>
    </row>
    <row r="57" spans="1:11" ht="15.75" thickBot="1" x14ac:dyDescent="0.3">
      <c r="A57" s="16" t="s">
        <v>39</v>
      </c>
      <c r="B57" s="25">
        <f>SUM(B54,B56)</f>
        <v>8640000000</v>
      </c>
      <c r="C57" s="25">
        <f t="shared" ref="C57" si="61">SUM(C54,C56)</f>
        <v>9342816000</v>
      </c>
      <c r="D57" s="25">
        <f t="shared" ref="D57" si="62">SUM(D54,D56)</f>
        <v>10102757162.4</v>
      </c>
      <c r="E57" s="25">
        <f t="shared" ref="E57" si="63">SUM(E54,E56)</f>
        <v>10924457060.9601</v>
      </c>
      <c r="F57" s="25">
        <f t="shared" ref="F57" si="64">SUM(F54,F56)</f>
        <v>11812924120.288809</v>
      </c>
      <c r="G57" s="25">
        <f t="shared" ref="G57" si="65">SUM(G54,G56)</f>
        <v>12773571855.481775</v>
      </c>
      <c r="H57" s="25">
        <f t="shared" ref="H57" si="66">SUM(H54,H56)</f>
        <v>13812251544.434202</v>
      </c>
      <c r="I57" s="108">
        <f t="shared" si="34"/>
        <v>77408777743.56488</v>
      </c>
      <c r="J57" s="23"/>
      <c r="K57" s="23"/>
    </row>
    <row r="58" spans="1:11" ht="15.75" thickBot="1" x14ac:dyDescent="0.3">
      <c r="A58" s="5" t="str">
        <f>A41</f>
        <v>G&amp;A Expenses (13% of Revenue)</v>
      </c>
      <c r="B58" s="25">
        <f>$B$10*B54</f>
        <v>-2204800000</v>
      </c>
      <c r="C58" s="25">
        <f t="shared" ref="C58:H58" si="67">$B$10*C54</f>
        <v>-2375231040</v>
      </c>
      <c r="D58" s="25">
        <f t="shared" si="67"/>
        <v>-2558867999.6879997</v>
      </c>
      <c r="E58" s="25">
        <f t="shared" si="67"/>
        <v>-2756735735.9637184</v>
      </c>
      <c r="F58" s="25">
        <f t="shared" si="67"/>
        <v>-2969938720.525095</v>
      </c>
      <c r="G58" s="25">
        <f t="shared" si="67"/>
        <v>-3199667228.6554604</v>
      </c>
      <c r="H58" s="25">
        <f t="shared" si="67"/>
        <v>-3447204009.291347</v>
      </c>
      <c r="I58" s="108">
        <f t="shared" si="34"/>
        <v>-19512444734.123619</v>
      </c>
      <c r="J58" s="23"/>
      <c r="K58" s="23"/>
    </row>
    <row r="59" spans="1:11" ht="15.75" thickBot="1" x14ac:dyDescent="0.3">
      <c r="A59" s="5" t="s">
        <v>41</v>
      </c>
      <c r="B59" s="51">
        <f>$B$8</f>
        <v>-750000</v>
      </c>
      <c r="C59" s="51">
        <f t="shared" ref="C59:H59" si="68">$B$8</f>
        <v>-750000</v>
      </c>
      <c r="D59" s="51">
        <f t="shared" si="68"/>
        <v>-750000</v>
      </c>
      <c r="E59" s="51">
        <f t="shared" si="68"/>
        <v>-750000</v>
      </c>
      <c r="F59" s="51">
        <f t="shared" si="68"/>
        <v>-750000</v>
      </c>
      <c r="G59" s="51">
        <f t="shared" si="68"/>
        <v>-750000</v>
      </c>
      <c r="H59" s="51">
        <f t="shared" si="68"/>
        <v>-750000</v>
      </c>
      <c r="I59" s="108">
        <f t="shared" si="34"/>
        <v>-5250000</v>
      </c>
      <c r="J59" s="23"/>
      <c r="K59" s="23"/>
    </row>
    <row r="60" spans="1:11" ht="15.75" thickBot="1" x14ac:dyDescent="0.3">
      <c r="A60" s="16" t="s">
        <v>42</v>
      </c>
      <c r="B60" s="25">
        <f>B57+B58+B59</f>
        <v>6434450000</v>
      </c>
      <c r="C60" s="25">
        <f t="shared" ref="C60" si="69">C57+C58+C59</f>
        <v>6966834960</v>
      </c>
      <c r="D60" s="25">
        <f t="shared" ref="D60" si="70">D57+D58+D59</f>
        <v>7543139162.7119999</v>
      </c>
      <c r="E60" s="25">
        <f t="shared" ref="E60" si="71">E57+E58+E59</f>
        <v>8166971324.9963818</v>
      </c>
      <c r="F60" s="25">
        <f t="shared" ref="F60" si="72">F57+F58+F59</f>
        <v>8842235399.7637138</v>
      </c>
      <c r="G60" s="25">
        <f t="shared" ref="G60" si="73">G57+G58+G59</f>
        <v>9573154626.8263149</v>
      </c>
      <c r="H60" s="25">
        <f t="shared" ref="H60" si="74">H57+H58+H59</f>
        <v>10364297535.142855</v>
      </c>
      <c r="I60" s="108">
        <f t="shared" si="34"/>
        <v>57891083009.441261</v>
      </c>
      <c r="J60" s="23"/>
      <c r="K60" s="23"/>
    </row>
    <row r="61" spans="1:11" ht="15.75" thickBot="1" x14ac:dyDescent="0.3">
      <c r="A61" s="5" t="s">
        <v>43</v>
      </c>
      <c r="B61" s="51">
        <f>$B$9</f>
        <v>-120000</v>
      </c>
      <c r="C61" s="51">
        <f t="shared" ref="C61:H61" si="75">$B$9</f>
        <v>-120000</v>
      </c>
      <c r="D61" s="51">
        <f t="shared" si="75"/>
        <v>-120000</v>
      </c>
      <c r="E61" s="51">
        <f t="shared" si="75"/>
        <v>-120000</v>
      </c>
      <c r="F61" s="51">
        <f t="shared" si="75"/>
        <v>-120000</v>
      </c>
      <c r="G61" s="51">
        <f t="shared" si="75"/>
        <v>-120000</v>
      </c>
      <c r="H61" s="51">
        <f t="shared" si="75"/>
        <v>-120000</v>
      </c>
      <c r="I61" s="108">
        <f t="shared" si="34"/>
        <v>-840000</v>
      </c>
      <c r="J61" s="23"/>
      <c r="K61" s="23"/>
    </row>
    <row r="62" spans="1:11" ht="15" x14ac:dyDescent="0.25">
      <c r="A62" s="16" t="s">
        <v>44</v>
      </c>
      <c r="B62" s="107">
        <f>B60+B61</f>
        <v>6434330000</v>
      </c>
      <c r="C62" s="107">
        <f t="shared" ref="C62" si="76">C60+C61</f>
        <v>6966714960</v>
      </c>
      <c r="D62" s="107">
        <f t="shared" ref="D62" si="77">D60+D61</f>
        <v>7543019162.7119999</v>
      </c>
      <c r="E62" s="107">
        <f t="shared" ref="E62" si="78">E60+E61</f>
        <v>8166851324.9963818</v>
      </c>
      <c r="F62" s="107">
        <f t="shared" ref="F62" si="79">F60+F61</f>
        <v>8842115399.7637138</v>
      </c>
      <c r="G62" s="107">
        <f t="shared" ref="G62" si="80">G60+G61</f>
        <v>9573034626.8263149</v>
      </c>
      <c r="H62" s="107">
        <f t="shared" ref="H62" si="81">H60+H61</f>
        <v>10364177535.142855</v>
      </c>
      <c r="I62" s="108">
        <f t="shared" si="34"/>
        <v>57890243009.441261</v>
      </c>
      <c r="J62" s="23"/>
      <c r="K62" s="23"/>
    </row>
    <row r="63" spans="1:11" ht="15.75" thickBot="1" x14ac:dyDescent="0.3">
      <c r="A63" s="6" t="s">
        <v>29</v>
      </c>
      <c r="B63" s="52">
        <f>B62</f>
        <v>6434330000</v>
      </c>
      <c r="C63" s="52">
        <f t="shared" ref="C63" si="82">C62</f>
        <v>6966714960</v>
      </c>
      <c r="D63" s="52">
        <f t="shared" ref="D63" si="83">D62</f>
        <v>7543019162.7119999</v>
      </c>
      <c r="E63" s="52">
        <f t="shared" ref="E63" si="84">E62</f>
        <v>8166851324.9963818</v>
      </c>
      <c r="F63" s="52">
        <f t="shared" ref="F63" si="85">F62</f>
        <v>8842115399.7637138</v>
      </c>
      <c r="G63" s="52">
        <f t="shared" ref="G63" si="86">G62</f>
        <v>9573034626.8263149</v>
      </c>
      <c r="H63" s="52">
        <f t="shared" ref="H63" si="87">H62</f>
        <v>10364177535.142855</v>
      </c>
      <c r="I63" s="53">
        <f>SUM(B63:H63)</f>
        <v>57890243009.441261</v>
      </c>
    </row>
    <row r="64" spans="1:11" ht="15.75" thickTop="1" thickBot="1" x14ac:dyDescent="0.25">
      <c r="A64" s="57"/>
      <c r="B64" s="57"/>
      <c r="C64" s="57"/>
      <c r="D64" s="57"/>
      <c r="E64" s="57"/>
      <c r="F64" s="57"/>
      <c r="G64" s="57"/>
      <c r="H64" s="57"/>
      <c r="I64" s="57"/>
    </row>
    <row r="65" spans="1:12" ht="16.5" thickBot="1" x14ac:dyDescent="0.3">
      <c r="A65" s="80" t="str">
        <f>A48</f>
        <v>Average Case Scenario (5% Growth)</v>
      </c>
      <c r="B65" s="60" t="s">
        <v>46</v>
      </c>
      <c r="C65" s="60" t="s">
        <v>0</v>
      </c>
      <c r="D65" s="60" t="s">
        <v>1</v>
      </c>
      <c r="E65" s="60" t="s">
        <v>2</v>
      </c>
      <c r="F65" s="60" t="s">
        <v>3</v>
      </c>
      <c r="G65" s="60" t="s">
        <v>4</v>
      </c>
      <c r="H65" s="61" t="s">
        <v>5</v>
      </c>
      <c r="I65" s="62" t="s">
        <v>63</v>
      </c>
    </row>
    <row r="66" spans="1:12" ht="15.75" thickBot="1" x14ac:dyDescent="0.3">
      <c r="A66" s="5" t="s">
        <v>24</v>
      </c>
      <c r="B66" s="50">
        <f>'(4) ANALYSIS ASSUMPTIONS'!B19</f>
        <v>258000</v>
      </c>
      <c r="C66" s="59">
        <f>B66*(1+$B$1)</f>
        <v>270900</v>
      </c>
      <c r="D66" s="59">
        <f t="shared" ref="D66:H66" si="88">C66*(1+$B$1)</f>
        <v>284445</v>
      </c>
      <c r="E66" s="59">
        <f t="shared" si="88"/>
        <v>298667.25</v>
      </c>
      <c r="F66" s="59">
        <f t="shared" si="88"/>
        <v>313600.61249999999</v>
      </c>
      <c r="G66" s="59">
        <f t="shared" si="88"/>
        <v>329280.643125</v>
      </c>
      <c r="H66" s="59">
        <f t="shared" si="88"/>
        <v>345744.67528125003</v>
      </c>
      <c r="I66" s="108">
        <f>SUM(B66:H66)</f>
        <v>2100638.1809062501</v>
      </c>
    </row>
    <row r="67" spans="1:12" ht="15.75" thickBot="1" x14ac:dyDescent="0.3">
      <c r="A67" s="5" t="s">
        <v>6</v>
      </c>
      <c r="B67" s="51">
        <f>'(4) ANALYSIS ASSUMPTIONS'!C19</f>
        <v>56800</v>
      </c>
      <c r="C67" s="3">
        <f>B67*(1+$B$2)</f>
        <v>58305.2</v>
      </c>
      <c r="D67" s="3">
        <f t="shared" ref="D67:H67" si="89">C67*(1+$B$2)</f>
        <v>59850.287799999998</v>
      </c>
      <c r="E67" s="3">
        <f t="shared" si="89"/>
        <v>61436.320426699996</v>
      </c>
      <c r="F67" s="3">
        <f t="shared" si="89"/>
        <v>63064.382918007541</v>
      </c>
      <c r="G67" s="3">
        <f t="shared" si="89"/>
        <v>64735.589065334738</v>
      </c>
      <c r="H67" s="3">
        <f t="shared" si="89"/>
        <v>66451.082175566102</v>
      </c>
      <c r="I67" s="108">
        <f t="shared" ref="I67:I79" si="90">SUM(B67:H67)</f>
        <v>430642.86238560843</v>
      </c>
      <c r="J67" s="23"/>
      <c r="K67" s="23"/>
      <c r="L67" s="23"/>
    </row>
    <row r="68" spans="1:12" ht="15.75" thickBot="1" x14ac:dyDescent="0.3">
      <c r="A68" s="14" t="s">
        <v>37</v>
      </c>
      <c r="B68" s="25">
        <f>B67*B66</f>
        <v>14654400000</v>
      </c>
      <c r="C68" s="25">
        <f t="shared" ref="C68" si="91">C67*C66</f>
        <v>15794878680</v>
      </c>
      <c r="D68" s="25">
        <f t="shared" ref="D68" si="92">D67*D66</f>
        <v>17024115113.271</v>
      </c>
      <c r="E68" s="25">
        <f t="shared" ref="E68" si="93">E67*E66</f>
        <v>18349016871.961315</v>
      </c>
      <c r="F68" s="25">
        <f t="shared" ref="F68" si="94">F67*F66</f>
        <v>19777029110.021702</v>
      </c>
      <c r="G68" s="25">
        <f t="shared" ref="G68" si="95">G67*G66</f>
        <v>21316176400.50914</v>
      </c>
      <c r="H68" s="25">
        <f t="shared" ref="H68" si="96">H67*H66</f>
        <v>22975107828.878765</v>
      </c>
      <c r="I68" s="108">
        <f t="shared" si="90"/>
        <v>129890724004.64192</v>
      </c>
      <c r="J68" s="23"/>
      <c r="K68" s="23"/>
      <c r="L68" s="23"/>
    </row>
    <row r="69" spans="1:12" ht="15.75" thickBot="1" x14ac:dyDescent="0.3">
      <c r="A69" s="5" t="s">
        <v>7</v>
      </c>
      <c r="B69" s="51">
        <f>$B$6</f>
        <v>1000</v>
      </c>
      <c r="C69" s="51">
        <f t="shared" ref="C69:H69" si="97">$B$6</f>
        <v>1000</v>
      </c>
      <c r="D69" s="51">
        <f t="shared" si="97"/>
        <v>1000</v>
      </c>
      <c r="E69" s="51">
        <f t="shared" si="97"/>
        <v>1000</v>
      </c>
      <c r="F69" s="51">
        <f t="shared" si="97"/>
        <v>1000</v>
      </c>
      <c r="G69" s="51">
        <f t="shared" si="97"/>
        <v>1000</v>
      </c>
      <c r="H69" s="51">
        <f t="shared" si="97"/>
        <v>1000</v>
      </c>
      <c r="I69" s="108">
        <f t="shared" si="90"/>
        <v>7000</v>
      </c>
      <c r="J69" s="23"/>
      <c r="K69" s="23"/>
      <c r="L69" s="23"/>
    </row>
    <row r="70" spans="1:12" ht="15.75" thickBot="1" x14ac:dyDescent="0.3">
      <c r="A70" s="14" t="s">
        <v>38</v>
      </c>
      <c r="B70" s="25">
        <f>B69*B66</f>
        <v>258000000</v>
      </c>
      <c r="C70" s="25">
        <f t="shared" ref="C70" si="98">C69*C66</f>
        <v>270900000</v>
      </c>
      <c r="D70" s="25">
        <f t="shared" ref="D70" si="99">D69*D66</f>
        <v>284445000</v>
      </c>
      <c r="E70" s="25">
        <f t="shared" ref="E70" si="100">E69*E66</f>
        <v>298667250</v>
      </c>
      <c r="F70" s="25">
        <f t="shared" ref="F70" si="101">F69*F66</f>
        <v>313600612.5</v>
      </c>
      <c r="G70" s="25">
        <f t="shared" ref="G70" si="102">G69*G66</f>
        <v>329280643.125</v>
      </c>
      <c r="H70" s="25">
        <f t="shared" ref="H70" si="103">H69*H66</f>
        <v>345744675.28125006</v>
      </c>
      <c r="I70" s="108">
        <f t="shared" si="90"/>
        <v>2100638180.90625</v>
      </c>
      <c r="J70" s="23"/>
      <c r="K70" s="23"/>
      <c r="L70" s="23"/>
    </row>
    <row r="71" spans="1:12" ht="15.75" thickBot="1" x14ac:dyDescent="0.3">
      <c r="A71" s="15" t="s">
        <v>36</v>
      </c>
      <c r="B71" s="109">
        <f>SUM(B70,B68)</f>
        <v>14912400000</v>
      </c>
      <c r="C71" s="109">
        <f t="shared" ref="C71" si="104">SUM(C70,C68)</f>
        <v>16065778680</v>
      </c>
      <c r="D71" s="109">
        <f t="shared" ref="D71" si="105">SUM(D70,D68)</f>
        <v>17308560113.271</v>
      </c>
      <c r="E71" s="109">
        <f t="shared" ref="E71" si="106">SUM(E70,E68)</f>
        <v>18647684121.961315</v>
      </c>
      <c r="F71" s="109">
        <f t="shared" ref="F71" si="107">SUM(F70,F68)</f>
        <v>20090629722.521702</v>
      </c>
      <c r="G71" s="109">
        <f t="shared" ref="G71" si="108">SUM(G70,G68)</f>
        <v>21645457043.63414</v>
      </c>
      <c r="H71" s="109">
        <f t="shared" ref="H71" si="109">SUM(H70,H68)</f>
        <v>23320852504.160015</v>
      </c>
      <c r="I71" s="108">
        <f t="shared" si="90"/>
        <v>131991362185.54817</v>
      </c>
      <c r="J71" s="23"/>
      <c r="K71" s="23"/>
      <c r="L71" s="23"/>
    </row>
    <row r="72" spans="1:12" ht="15.75" thickBot="1" x14ac:dyDescent="0.3">
      <c r="A72" s="5" t="str">
        <f>A55</f>
        <v>Cost to Build and Sell (50%)</v>
      </c>
      <c r="B72" s="51">
        <f>'(4) ANALYSIS ASSUMPTIONS'!D19</f>
        <v>-28400</v>
      </c>
      <c r="C72" s="3">
        <f>B72*(1+$B$3)</f>
        <v>-29024.799999999999</v>
      </c>
      <c r="D72" s="3">
        <f t="shared" ref="D72:H72" si="110">C72*(1+$B$3)</f>
        <v>-29663.345600000001</v>
      </c>
      <c r="E72" s="3">
        <f t="shared" si="110"/>
        <v>-30315.9392032</v>
      </c>
      <c r="F72" s="3">
        <f t="shared" si="110"/>
        <v>-30982.8898656704</v>
      </c>
      <c r="G72" s="3">
        <f t="shared" si="110"/>
        <v>-31664.51344271515</v>
      </c>
      <c r="H72" s="3">
        <f t="shared" si="110"/>
        <v>-32361.132738454882</v>
      </c>
      <c r="I72" s="108">
        <f t="shared" si="90"/>
        <v>-212412.62085004043</v>
      </c>
      <c r="J72" s="23"/>
      <c r="K72" s="23"/>
      <c r="L72" s="23"/>
    </row>
    <row r="73" spans="1:12" ht="15.75" thickBot="1" x14ac:dyDescent="0.3">
      <c r="A73" s="14" t="s">
        <v>40</v>
      </c>
      <c r="B73" s="25">
        <f>B72*B66</f>
        <v>-7327200000</v>
      </c>
      <c r="C73" s="25">
        <f t="shared" ref="C73" si="111">C72*C66</f>
        <v>-7862818320</v>
      </c>
      <c r="D73" s="25">
        <f t="shared" ref="D73" si="112">D72*D66</f>
        <v>-8437590339.1920004</v>
      </c>
      <c r="E73" s="25">
        <f t="shared" ref="E73" si="113">E72*E66</f>
        <v>-9054378192.9869347</v>
      </c>
      <c r="F73" s="25">
        <f t="shared" ref="F73" si="114">F72*F66</f>
        <v>-9716253238.8942795</v>
      </c>
      <c r="G73" s="25">
        <f t="shared" ref="G73" si="115">G72*G66</f>
        <v>-10426511350.657452</v>
      </c>
      <c r="H73" s="25">
        <f t="shared" ref="H73" si="116">H72*H66</f>
        <v>-11188689330.390512</v>
      </c>
      <c r="I73" s="108">
        <f t="shared" si="90"/>
        <v>-64013440772.121178</v>
      </c>
      <c r="J73" s="23"/>
      <c r="K73" s="23"/>
      <c r="L73" s="23"/>
    </row>
    <row r="74" spans="1:12" ht="15.75" thickBot="1" x14ac:dyDescent="0.3">
      <c r="A74" s="16" t="s">
        <v>39</v>
      </c>
      <c r="B74" s="25">
        <f>SUM(B71,B73)</f>
        <v>7585200000</v>
      </c>
      <c r="C74" s="25">
        <f t="shared" ref="C74" si="117">SUM(C71,C73)</f>
        <v>8202960360</v>
      </c>
      <c r="D74" s="25">
        <f t="shared" ref="D74" si="118">SUM(D71,D73)</f>
        <v>8870969774.0789986</v>
      </c>
      <c r="E74" s="25">
        <f t="shared" ref="E74" si="119">SUM(E71,E73)</f>
        <v>9593305928.9743805</v>
      </c>
      <c r="F74" s="25">
        <f t="shared" ref="F74" si="120">SUM(F71,F73)</f>
        <v>10374376483.627422</v>
      </c>
      <c r="G74" s="25">
        <f t="shared" ref="G74" si="121">SUM(G71,G73)</f>
        <v>11218945692.976688</v>
      </c>
      <c r="H74" s="25">
        <f t="shared" ref="H74" si="122">SUM(H71,H73)</f>
        <v>12132163173.769503</v>
      </c>
      <c r="I74" s="108">
        <f t="shared" si="90"/>
        <v>67977921413.426987</v>
      </c>
      <c r="J74" s="23"/>
      <c r="K74" s="23"/>
      <c r="L74" s="23"/>
    </row>
    <row r="75" spans="1:12" ht="15.75" thickBot="1" x14ac:dyDescent="0.3">
      <c r="A75" s="5" t="str">
        <f>A58</f>
        <v>G&amp;A Expenses (13% of Revenue)</v>
      </c>
      <c r="B75" s="25">
        <f>$B$10*B71</f>
        <v>-1938612000</v>
      </c>
      <c r="C75" s="25">
        <f t="shared" ref="C75:H75" si="123">$B$10*C71</f>
        <v>-2088551228.4000001</v>
      </c>
      <c r="D75" s="25">
        <f t="shared" si="123"/>
        <v>-2250112814.7252302</v>
      </c>
      <c r="E75" s="25">
        <f t="shared" si="123"/>
        <v>-2424198935.8549709</v>
      </c>
      <c r="F75" s="25">
        <f t="shared" si="123"/>
        <v>-2611781863.9278212</v>
      </c>
      <c r="G75" s="25">
        <f t="shared" si="123"/>
        <v>-2813909415.6724381</v>
      </c>
      <c r="H75" s="25">
        <f t="shared" si="123"/>
        <v>-3031710825.540802</v>
      </c>
      <c r="I75" s="108">
        <f t="shared" si="90"/>
        <v>-17158877084.121264</v>
      </c>
      <c r="J75" s="23"/>
      <c r="K75" s="23"/>
      <c r="L75" s="23"/>
    </row>
    <row r="76" spans="1:12" ht="15.75" thickBot="1" x14ac:dyDescent="0.3">
      <c r="A76" s="5" t="s">
        <v>41</v>
      </c>
      <c r="B76" s="51">
        <f>$B$8</f>
        <v>-750000</v>
      </c>
      <c r="C76" s="51">
        <f t="shared" ref="C76:H76" si="124">$B$8</f>
        <v>-750000</v>
      </c>
      <c r="D76" s="51">
        <f t="shared" si="124"/>
        <v>-750000</v>
      </c>
      <c r="E76" s="51">
        <f t="shared" si="124"/>
        <v>-750000</v>
      </c>
      <c r="F76" s="51">
        <f t="shared" si="124"/>
        <v>-750000</v>
      </c>
      <c r="G76" s="51">
        <f t="shared" si="124"/>
        <v>-750000</v>
      </c>
      <c r="H76" s="51">
        <f t="shared" si="124"/>
        <v>-750000</v>
      </c>
      <c r="I76" s="108">
        <f t="shared" si="90"/>
        <v>-5250000</v>
      </c>
      <c r="J76" s="23"/>
      <c r="K76" s="23"/>
      <c r="L76" s="23"/>
    </row>
    <row r="77" spans="1:12" ht="15.75" thickBot="1" x14ac:dyDescent="0.3">
      <c r="A77" s="16" t="s">
        <v>42</v>
      </c>
      <c r="B77" s="25">
        <f>B74+B75+B76</f>
        <v>5645838000</v>
      </c>
      <c r="C77" s="25">
        <f t="shared" ref="C77" si="125">C74+C75+C76</f>
        <v>6113659131.6000004</v>
      </c>
      <c r="D77" s="25">
        <f t="shared" ref="D77" si="126">D74+D75+D76</f>
        <v>6620106959.3537683</v>
      </c>
      <c r="E77" s="25">
        <f t="shared" ref="E77" si="127">E74+E75+E76</f>
        <v>7168356993.1194096</v>
      </c>
      <c r="F77" s="25">
        <f t="shared" ref="F77" si="128">F74+F75+F76</f>
        <v>7761844619.6996012</v>
      </c>
      <c r="G77" s="25">
        <f t="shared" ref="G77" si="129">G74+G75+G76</f>
        <v>8404286277.3042507</v>
      </c>
      <c r="H77" s="25">
        <f t="shared" ref="H77" si="130">H74+H75+H76</f>
        <v>9099702348.2287006</v>
      </c>
      <c r="I77" s="108">
        <f t="shared" si="90"/>
        <v>50813794329.305733</v>
      </c>
      <c r="J77" s="23"/>
      <c r="K77" s="23"/>
      <c r="L77" s="23"/>
    </row>
    <row r="78" spans="1:12" ht="15.75" thickBot="1" x14ac:dyDescent="0.3">
      <c r="A78" s="5" t="s">
        <v>43</v>
      </c>
      <c r="B78" s="51">
        <f>$B$9</f>
        <v>-120000</v>
      </c>
      <c r="C78" s="51">
        <f t="shared" ref="C78:H78" si="131">$B$9</f>
        <v>-120000</v>
      </c>
      <c r="D78" s="51">
        <f t="shared" si="131"/>
        <v>-120000</v>
      </c>
      <c r="E78" s="51">
        <f t="shared" si="131"/>
        <v>-120000</v>
      </c>
      <c r="F78" s="51">
        <f t="shared" si="131"/>
        <v>-120000</v>
      </c>
      <c r="G78" s="51">
        <f t="shared" si="131"/>
        <v>-120000</v>
      </c>
      <c r="H78" s="51">
        <f t="shared" si="131"/>
        <v>-120000</v>
      </c>
      <c r="I78" s="108">
        <f t="shared" si="90"/>
        <v>-840000</v>
      </c>
      <c r="J78" s="23"/>
      <c r="K78" s="23"/>
      <c r="L78" s="23"/>
    </row>
    <row r="79" spans="1:12" ht="15" x14ac:dyDescent="0.25">
      <c r="A79" s="16" t="s">
        <v>44</v>
      </c>
      <c r="B79" s="107">
        <f>B77+B78</f>
        <v>5645718000</v>
      </c>
      <c r="C79" s="107">
        <f t="shared" ref="C79" si="132">C77+C78</f>
        <v>6113539131.6000004</v>
      </c>
      <c r="D79" s="107">
        <f t="shared" ref="D79" si="133">D77+D78</f>
        <v>6619986959.3537683</v>
      </c>
      <c r="E79" s="107">
        <f t="shared" ref="E79" si="134">E77+E78</f>
        <v>7168236993.1194096</v>
      </c>
      <c r="F79" s="107">
        <f t="shared" ref="F79" si="135">F77+F78</f>
        <v>7761724619.6996012</v>
      </c>
      <c r="G79" s="107">
        <f t="shared" ref="G79" si="136">G77+G78</f>
        <v>8404166277.3042507</v>
      </c>
      <c r="H79" s="107">
        <f t="shared" ref="H79" si="137">H77+H78</f>
        <v>9099582348.2287006</v>
      </c>
      <c r="I79" s="108">
        <f t="shared" si="90"/>
        <v>50812954329.305733</v>
      </c>
      <c r="J79" s="23"/>
      <c r="K79" s="23"/>
      <c r="L79" s="23"/>
    </row>
    <row r="80" spans="1:12" ht="15.75" thickBot="1" x14ac:dyDescent="0.3">
      <c r="A80" s="6" t="s">
        <v>30</v>
      </c>
      <c r="B80" s="52">
        <f>B79</f>
        <v>5645718000</v>
      </c>
      <c r="C80" s="52">
        <f t="shared" ref="C80" si="138">C79</f>
        <v>6113539131.6000004</v>
      </c>
      <c r="D80" s="52">
        <f t="shared" ref="D80" si="139">D79</f>
        <v>6619986959.3537683</v>
      </c>
      <c r="E80" s="52">
        <f t="shared" ref="E80" si="140">E79</f>
        <v>7168236993.1194096</v>
      </c>
      <c r="F80" s="52">
        <f t="shared" ref="F80" si="141">F79</f>
        <v>7761724619.6996012</v>
      </c>
      <c r="G80" s="52">
        <f t="shared" ref="G80" si="142">G79</f>
        <v>8404166277.3042507</v>
      </c>
      <c r="H80" s="52">
        <f t="shared" ref="H80" si="143">H79</f>
        <v>9099582348.2287006</v>
      </c>
      <c r="I80" s="53">
        <f>SUM(B80:H80)</f>
        <v>50812954329.305733</v>
      </c>
    </row>
    <row r="81" spans="1:9" ht="16.5" thickTop="1" thickBot="1" x14ac:dyDescent="0.3">
      <c r="A81" s="58"/>
      <c r="B81" s="57"/>
      <c r="C81" s="57"/>
      <c r="D81" s="57"/>
      <c r="E81" s="57"/>
      <c r="F81" s="57"/>
      <c r="G81" s="57"/>
      <c r="H81" s="57"/>
      <c r="I81" s="57"/>
    </row>
    <row r="82" spans="1:9" ht="16.5" thickBot="1" x14ac:dyDescent="0.3">
      <c r="A82" s="80" t="str">
        <f>A65</f>
        <v>Average Case Scenario (5% Growth)</v>
      </c>
      <c r="B82" s="60" t="s">
        <v>46</v>
      </c>
      <c r="C82" s="60" t="s">
        <v>0</v>
      </c>
      <c r="D82" s="60" t="s">
        <v>1</v>
      </c>
      <c r="E82" s="60" t="s">
        <v>2</v>
      </c>
      <c r="F82" s="60" t="s">
        <v>3</v>
      </c>
      <c r="G82" s="60" t="s">
        <v>4</v>
      </c>
      <c r="H82" s="61" t="s">
        <v>5</v>
      </c>
      <c r="I82" s="62" t="s">
        <v>63</v>
      </c>
    </row>
    <row r="83" spans="1:9" ht="15.75" thickBot="1" x14ac:dyDescent="0.3">
      <c r="A83" s="5" t="s">
        <v>25</v>
      </c>
      <c r="B83" s="50">
        <f>'(4) ANALYSIS ASSUMPTIONS'!B20</f>
        <v>248000</v>
      </c>
      <c r="C83" s="59">
        <f>B83*(1+$B$1)</f>
        <v>260400</v>
      </c>
      <c r="D83" s="59">
        <f t="shared" ref="D83:H83" si="144">C83*(1+$B$1)</f>
        <v>273420</v>
      </c>
      <c r="E83" s="59">
        <f t="shared" si="144"/>
        <v>287091</v>
      </c>
      <c r="F83" s="59">
        <f t="shared" si="144"/>
        <v>301445.55</v>
      </c>
      <c r="G83" s="59">
        <f t="shared" si="144"/>
        <v>316517.82750000001</v>
      </c>
      <c r="H83" s="59">
        <f t="shared" si="144"/>
        <v>332343.71887500002</v>
      </c>
      <c r="I83" s="108">
        <f>SUM(B83:H83)</f>
        <v>2019218.096375</v>
      </c>
    </row>
    <row r="84" spans="1:9" ht="15.75" thickBot="1" x14ac:dyDescent="0.3">
      <c r="A84" s="5" t="s">
        <v>6</v>
      </c>
      <c r="B84" s="51">
        <f>'(4) ANALYSIS ASSUMPTIONS'!C20</f>
        <v>62500</v>
      </c>
      <c r="C84" s="3">
        <f>B84*(1+$B$2)</f>
        <v>64156.25</v>
      </c>
      <c r="D84" s="3">
        <f t="shared" ref="D84:H84" si="145">C84*(1+$B$2)</f>
        <v>65856.390625</v>
      </c>
      <c r="E84" s="3">
        <f t="shared" si="145"/>
        <v>67601.584976562503</v>
      </c>
      <c r="F84" s="3">
        <f t="shared" si="145"/>
        <v>69393.026978441412</v>
      </c>
      <c r="G84" s="3">
        <f t="shared" si="145"/>
        <v>71231.942193370109</v>
      </c>
      <c r="H84" s="3">
        <f t="shared" si="145"/>
        <v>73119.588661494417</v>
      </c>
      <c r="I84" s="108">
        <f t="shared" ref="I84:I96" si="146">SUM(B84:H84)</f>
        <v>473858.78343486844</v>
      </c>
    </row>
    <row r="85" spans="1:9" ht="15.75" thickBot="1" x14ac:dyDescent="0.3">
      <c r="A85" s="14" t="s">
        <v>37</v>
      </c>
      <c r="B85" s="25">
        <f>B84*B83</f>
        <v>15500000000</v>
      </c>
      <c r="C85" s="25">
        <f t="shared" ref="C85" si="147">C84*C83</f>
        <v>16706287500</v>
      </c>
      <c r="D85" s="25">
        <f t="shared" ref="D85" si="148">D84*D83</f>
        <v>18006454324.6875</v>
      </c>
      <c r="E85" s="25">
        <f t="shared" ref="E85" si="149">E84*E83</f>
        <v>19407806632.506306</v>
      </c>
      <c r="F85" s="25">
        <f t="shared" ref="F85" si="150">F84*F83</f>
        <v>20918219183.68111</v>
      </c>
      <c r="G85" s="25">
        <f t="shared" ref="G85" si="151">G84*G83</f>
        <v>22546179591.651093</v>
      </c>
      <c r="H85" s="25">
        <f t="shared" ref="H85" si="152">H84*H83</f>
        <v>24300836018.371338</v>
      </c>
      <c r="I85" s="108">
        <f t="shared" si="146"/>
        <v>137385783250.89734</v>
      </c>
    </row>
    <row r="86" spans="1:9" ht="15.75" thickBot="1" x14ac:dyDescent="0.3">
      <c r="A86" s="5" t="s">
        <v>7</v>
      </c>
      <c r="B86" s="51">
        <f>$B$6</f>
        <v>1000</v>
      </c>
      <c r="C86" s="51">
        <f t="shared" ref="C86:H86" si="153">$B$6</f>
        <v>1000</v>
      </c>
      <c r="D86" s="51">
        <f t="shared" si="153"/>
        <v>1000</v>
      </c>
      <c r="E86" s="51">
        <f t="shared" si="153"/>
        <v>1000</v>
      </c>
      <c r="F86" s="51">
        <f t="shared" si="153"/>
        <v>1000</v>
      </c>
      <c r="G86" s="51">
        <f t="shared" si="153"/>
        <v>1000</v>
      </c>
      <c r="H86" s="51">
        <f t="shared" si="153"/>
        <v>1000</v>
      </c>
      <c r="I86" s="108">
        <f t="shared" si="146"/>
        <v>7000</v>
      </c>
    </row>
    <row r="87" spans="1:9" ht="15.75" thickBot="1" x14ac:dyDescent="0.3">
      <c r="A87" s="14" t="s">
        <v>38</v>
      </c>
      <c r="B87" s="25">
        <f>B86*B83</f>
        <v>248000000</v>
      </c>
      <c r="C87" s="25">
        <f t="shared" ref="C87" si="154">C86*C83</f>
        <v>260400000</v>
      </c>
      <c r="D87" s="25">
        <f t="shared" ref="D87" si="155">D86*D83</f>
        <v>273420000</v>
      </c>
      <c r="E87" s="25">
        <f t="shared" ref="E87" si="156">E86*E83</f>
        <v>287091000</v>
      </c>
      <c r="F87" s="25">
        <f t="shared" ref="F87" si="157">F86*F83</f>
        <v>301445550</v>
      </c>
      <c r="G87" s="25">
        <f t="shared" ref="G87" si="158">G86*G83</f>
        <v>316517827.5</v>
      </c>
      <c r="H87" s="25">
        <f t="shared" ref="H87" si="159">H86*H83</f>
        <v>332343718.875</v>
      </c>
      <c r="I87" s="108">
        <f t="shared" si="146"/>
        <v>2019218096.375</v>
      </c>
    </row>
    <row r="88" spans="1:9" ht="15.75" thickBot="1" x14ac:dyDescent="0.3">
      <c r="A88" s="15" t="s">
        <v>36</v>
      </c>
      <c r="B88" s="109">
        <f>SUM(B87,B85)</f>
        <v>15748000000</v>
      </c>
      <c r="C88" s="109">
        <f t="shared" ref="C88" si="160">SUM(C87,C85)</f>
        <v>16966687500</v>
      </c>
      <c r="D88" s="109">
        <f t="shared" ref="D88" si="161">SUM(D87,D85)</f>
        <v>18279874324.6875</v>
      </c>
      <c r="E88" s="109">
        <f t="shared" ref="E88" si="162">SUM(E87,E85)</f>
        <v>19694897632.506306</v>
      </c>
      <c r="F88" s="109">
        <f t="shared" ref="F88" si="163">SUM(F87,F85)</f>
        <v>21219664733.68111</v>
      </c>
      <c r="G88" s="109">
        <f t="shared" ref="G88" si="164">SUM(G87,G85)</f>
        <v>22862697419.151093</v>
      </c>
      <c r="H88" s="109">
        <f t="shared" ref="H88" si="165">SUM(H87,H85)</f>
        <v>24633179737.246338</v>
      </c>
      <c r="I88" s="108">
        <f t="shared" si="146"/>
        <v>139405001347.27234</v>
      </c>
    </row>
    <row r="89" spans="1:9" ht="15.75" thickBot="1" x14ac:dyDescent="0.3">
      <c r="A89" s="5" t="str">
        <f>A72</f>
        <v>Cost to Build and Sell (50%)</v>
      </c>
      <c r="B89" s="51">
        <f>'(4) ANALYSIS ASSUMPTIONS'!D20</f>
        <v>-31250</v>
      </c>
      <c r="C89" s="3">
        <f>B89*(1+$B$3)</f>
        <v>-31937.5</v>
      </c>
      <c r="D89" s="3">
        <f t="shared" ref="D89:H89" si="166">C89*(1+$B$3)</f>
        <v>-32640.125</v>
      </c>
      <c r="E89" s="3">
        <f t="shared" si="166"/>
        <v>-33358.207750000001</v>
      </c>
      <c r="F89" s="3">
        <f t="shared" si="166"/>
        <v>-34092.088320499999</v>
      </c>
      <c r="G89" s="3">
        <f t="shared" si="166"/>
        <v>-34842.114263550997</v>
      </c>
      <c r="H89" s="3">
        <f t="shared" si="166"/>
        <v>-35608.640777349123</v>
      </c>
      <c r="I89" s="108">
        <f t="shared" si="146"/>
        <v>-233728.6761114001</v>
      </c>
    </row>
    <row r="90" spans="1:9" ht="15.75" thickBot="1" x14ac:dyDescent="0.3">
      <c r="A90" s="14" t="s">
        <v>40</v>
      </c>
      <c r="B90" s="25">
        <f>B89*B83</f>
        <v>-7750000000</v>
      </c>
      <c r="C90" s="25">
        <f t="shared" ref="C90" si="167">C89*C83</f>
        <v>-8316525000</v>
      </c>
      <c r="D90" s="25">
        <f t="shared" ref="D90" si="168">D89*D83</f>
        <v>-8924462977.5</v>
      </c>
      <c r="E90" s="25">
        <f t="shared" ref="E90" si="169">E89*E83</f>
        <v>-9576841221.1552505</v>
      </c>
      <c r="F90" s="25">
        <f t="shared" ref="F90" si="170">F89*F83</f>
        <v>-10276908314.421698</v>
      </c>
      <c r="G90" s="25">
        <f t="shared" ref="G90" si="171">G89*G83</f>
        <v>-11028150312.205925</v>
      </c>
      <c r="H90" s="25">
        <f t="shared" ref="H90" si="172">H89*H83</f>
        <v>-11834308100.028179</v>
      </c>
      <c r="I90" s="108">
        <f t="shared" si="146"/>
        <v>-67707195925.31105</v>
      </c>
    </row>
    <row r="91" spans="1:9" ht="15.75" thickBot="1" x14ac:dyDescent="0.3">
      <c r="A91" s="16" t="s">
        <v>39</v>
      </c>
      <c r="B91" s="25">
        <f>SUM(B88,B90)</f>
        <v>7998000000</v>
      </c>
      <c r="C91" s="25">
        <f t="shared" ref="C91" si="173">SUM(C88,C90)</f>
        <v>8650162500</v>
      </c>
      <c r="D91" s="25">
        <f t="shared" ref="D91" si="174">SUM(D88,D90)</f>
        <v>9355411347.1875</v>
      </c>
      <c r="E91" s="25">
        <f t="shared" ref="E91" si="175">SUM(E88,E90)</f>
        <v>10118056411.351055</v>
      </c>
      <c r="F91" s="25">
        <f t="shared" ref="F91" si="176">SUM(F88,F90)</f>
        <v>10942756419.259413</v>
      </c>
      <c r="G91" s="25">
        <f t="shared" ref="G91" si="177">SUM(G88,G90)</f>
        <v>11834547106.945168</v>
      </c>
      <c r="H91" s="25">
        <f t="shared" ref="H91" si="178">SUM(H88,H90)</f>
        <v>12798871637.218159</v>
      </c>
      <c r="I91" s="108">
        <f t="shared" si="146"/>
        <v>71697805421.961304</v>
      </c>
    </row>
    <row r="92" spans="1:9" ht="15.75" thickBot="1" x14ac:dyDescent="0.3">
      <c r="A92" s="5" t="str">
        <f>A75</f>
        <v>G&amp;A Expenses (13% of Revenue)</v>
      </c>
      <c r="B92" s="25">
        <f>$B$10*B88</f>
        <v>-2047240000</v>
      </c>
      <c r="C92" s="25">
        <f t="shared" ref="C92:H92" si="179">$B$10*C88</f>
        <v>-2205669375</v>
      </c>
      <c r="D92" s="25">
        <f t="shared" si="179"/>
        <v>-2376383662.2093749</v>
      </c>
      <c r="E92" s="25">
        <f t="shared" si="179"/>
        <v>-2560336692.2258201</v>
      </c>
      <c r="F92" s="25">
        <f t="shared" si="179"/>
        <v>-2758556415.3785443</v>
      </c>
      <c r="G92" s="25">
        <f t="shared" si="179"/>
        <v>-2972150664.4896421</v>
      </c>
      <c r="H92" s="25">
        <f t="shared" si="179"/>
        <v>-3202313365.8420238</v>
      </c>
      <c r="I92" s="108">
        <f t="shared" si="146"/>
        <v>-18122650175.145409</v>
      </c>
    </row>
    <row r="93" spans="1:9" ht="15.75" thickBot="1" x14ac:dyDescent="0.3">
      <c r="A93" s="5" t="s">
        <v>41</v>
      </c>
      <c r="B93" s="51">
        <f>$B$8</f>
        <v>-750000</v>
      </c>
      <c r="C93" s="51">
        <f t="shared" ref="C93:H93" si="180">$B$8</f>
        <v>-750000</v>
      </c>
      <c r="D93" s="51">
        <f t="shared" si="180"/>
        <v>-750000</v>
      </c>
      <c r="E93" s="51">
        <f t="shared" si="180"/>
        <v>-750000</v>
      </c>
      <c r="F93" s="51">
        <f t="shared" si="180"/>
        <v>-750000</v>
      </c>
      <c r="G93" s="51">
        <f t="shared" si="180"/>
        <v>-750000</v>
      </c>
      <c r="H93" s="51">
        <f t="shared" si="180"/>
        <v>-750000</v>
      </c>
      <c r="I93" s="108">
        <f t="shared" si="146"/>
        <v>-5250000</v>
      </c>
    </row>
    <row r="94" spans="1:9" ht="15.75" thickBot="1" x14ac:dyDescent="0.3">
      <c r="A94" s="16" t="s">
        <v>42</v>
      </c>
      <c r="B94" s="25">
        <f>B91+B92+B93</f>
        <v>5950010000</v>
      </c>
      <c r="C94" s="25">
        <f t="shared" ref="C94" si="181">C91+C92+C93</f>
        <v>6443743125</v>
      </c>
      <c r="D94" s="25">
        <f t="shared" ref="D94" si="182">D91+D92+D93</f>
        <v>6978277684.9781246</v>
      </c>
      <c r="E94" s="25">
        <f t="shared" ref="E94" si="183">E91+E92+E93</f>
        <v>7556969719.1252346</v>
      </c>
      <c r="F94" s="25">
        <f t="shared" ref="F94" si="184">F91+F92+F93</f>
        <v>8183450003.8808689</v>
      </c>
      <c r="G94" s="25">
        <f t="shared" ref="G94" si="185">G91+G92+G93</f>
        <v>8861646442.4555244</v>
      </c>
      <c r="H94" s="25">
        <f t="shared" ref="H94" si="186">H91+H92+H93</f>
        <v>9595808271.3761349</v>
      </c>
      <c r="I94" s="108">
        <f t="shared" si="146"/>
        <v>53569905246.815895</v>
      </c>
    </row>
    <row r="95" spans="1:9" ht="15.75" thickBot="1" x14ac:dyDescent="0.3">
      <c r="A95" s="5" t="s">
        <v>43</v>
      </c>
      <c r="B95" s="51">
        <f>$B$9</f>
        <v>-120000</v>
      </c>
      <c r="C95" s="51">
        <f t="shared" ref="C95:H95" si="187">$B$9</f>
        <v>-120000</v>
      </c>
      <c r="D95" s="51">
        <f t="shared" si="187"/>
        <v>-120000</v>
      </c>
      <c r="E95" s="51">
        <f t="shared" si="187"/>
        <v>-120000</v>
      </c>
      <c r="F95" s="51">
        <f t="shared" si="187"/>
        <v>-120000</v>
      </c>
      <c r="G95" s="51">
        <f t="shared" si="187"/>
        <v>-120000</v>
      </c>
      <c r="H95" s="51">
        <f t="shared" si="187"/>
        <v>-120000</v>
      </c>
      <c r="I95" s="108">
        <f t="shared" si="146"/>
        <v>-840000</v>
      </c>
    </row>
    <row r="96" spans="1:9" ht="15" x14ac:dyDescent="0.25">
      <c r="A96" s="16" t="s">
        <v>44</v>
      </c>
      <c r="B96" s="107">
        <f>B94+B95</f>
        <v>5949890000</v>
      </c>
      <c r="C96" s="107">
        <f t="shared" ref="C96" si="188">C94+C95</f>
        <v>6443623125</v>
      </c>
      <c r="D96" s="107">
        <f t="shared" ref="D96" si="189">D94+D95</f>
        <v>6978157684.9781246</v>
      </c>
      <c r="E96" s="107">
        <f t="shared" ref="E96" si="190">E94+E95</f>
        <v>7556849719.1252346</v>
      </c>
      <c r="F96" s="107">
        <f t="shared" ref="F96" si="191">F94+F95</f>
        <v>8183330003.8808689</v>
      </c>
      <c r="G96" s="107">
        <f t="shared" ref="G96" si="192">G94+G95</f>
        <v>8861526442.4555244</v>
      </c>
      <c r="H96" s="107">
        <f t="shared" ref="H96" si="193">H94+H95</f>
        <v>9595688271.3761349</v>
      </c>
      <c r="I96" s="108">
        <f t="shared" si="146"/>
        <v>53569065246.815895</v>
      </c>
    </row>
    <row r="97" spans="1:9" ht="15.75" thickBot="1" x14ac:dyDescent="0.3">
      <c r="A97" s="6" t="s">
        <v>31</v>
      </c>
      <c r="B97" s="52">
        <f>B96</f>
        <v>5949890000</v>
      </c>
      <c r="C97" s="52">
        <f t="shared" ref="C97" si="194">C96</f>
        <v>6443623125</v>
      </c>
      <c r="D97" s="52">
        <f t="shared" ref="D97" si="195">D96</f>
        <v>6978157684.9781246</v>
      </c>
      <c r="E97" s="52">
        <f t="shared" ref="E97" si="196">E96</f>
        <v>7556849719.1252346</v>
      </c>
      <c r="F97" s="52">
        <f t="shared" ref="F97" si="197">F96</f>
        <v>8183330003.8808689</v>
      </c>
      <c r="G97" s="52">
        <f t="shared" ref="G97" si="198">G96</f>
        <v>8861526442.4555244</v>
      </c>
      <c r="H97" s="52">
        <f t="shared" ref="H97" si="199">H96</f>
        <v>9595688271.3761349</v>
      </c>
      <c r="I97" s="53">
        <f>SUM(B97:H97)</f>
        <v>53569065246.815895</v>
      </c>
    </row>
    <row r="98" spans="1:9" ht="15.75" thickTop="1" thickBot="1" x14ac:dyDescent="0.25">
      <c r="A98" s="57"/>
      <c r="B98" s="57"/>
      <c r="C98" s="57"/>
      <c r="D98" s="57"/>
      <c r="E98" s="57"/>
      <c r="F98" s="57"/>
      <c r="G98" s="57"/>
      <c r="H98" s="57"/>
      <c r="I98" s="57"/>
    </row>
    <row r="99" spans="1:9" ht="16.5" thickBot="1" x14ac:dyDescent="0.3">
      <c r="A99" s="80" t="str">
        <f>A82</f>
        <v>Average Case Scenario (5% Growth)</v>
      </c>
      <c r="B99" s="60" t="s">
        <v>46</v>
      </c>
      <c r="C99" s="60" t="s">
        <v>0</v>
      </c>
      <c r="D99" s="60" t="s">
        <v>1</v>
      </c>
      <c r="E99" s="60" t="s">
        <v>2</v>
      </c>
      <c r="F99" s="60" t="s">
        <v>3</v>
      </c>
      <c r="G99" s="60" t="s">
        <v>4</v>
      </c>
      <c r="H99" s="61" t="s">
        <v>5</v>
      </c>
      <c r="I99" s="62" t="s">
        <v>63</v>
      </c>
    </row>
    <row r="100" spans="1:9" ht="15.75" thickBot="1" x14ac:dyDescent="0.3">
      <c r="A100" s="5" t="s">
        <v>26</v>
      </c>
      <c r="B100" s="50">
        <f>'(4) ANALYSIS ASSUMPTIONS'!B21</f>
        <v>120962</v>
      </c>
      <c r="C100" s="59">
        <f>B100*(1+$B$1)</f>
        <v>127010.1</v>
      </c>
      <c r="D100" s="59">
        <f t="shared" ref="D100:H100" si="200">C100*(1+$B$1)</f>
        <v>133360.60500000001</v>
      </c>
      <c r="E100" s="59">
        <f t="shared" si="200"/>
        <v>140028.63525000002</v>
      </c>
      <c r="F100" s="59">
        <f t="shared" si="200"/>
        <v>147030.06701250002</v>
      </c>
      <c r="G100" s="59">
        <f t="shared" si="200"/>
        <v>154381.57036312504</v>
      </c>
      <c r="H100" s="59">
        <f t="shared" si="200"/>
        <v>162100.64888128129</v>
      </c>
      <c r="I100" s="108">
        <f>SUM(B100:H100)</f>
        <v>984873.62650690635</v>
      </c>
    </row>
    <row r="101" spans="1:9" ht="15.75" thickBot="1" x14ac:dyDescent="0.3">
      <c r="A101" s="5" t="s">
        <v>6</v>
      </c>
      <c r="B101" s="51">
        <f>'(4) ANALYSIS ASSUMPTIONS'!C21</f>
        <v>72000</v>
      </c>
      <c r="C101" s="3">
        <f>B101*(1+$B$2)</f>
        <v>73908</v>
      </c>
      <c r="D101" s="3">
        <f t="shared" ref="D101:H101" si="201">C101*(1+$B$2)</f>
        <v>75866.561999999991</v>
      </c>
      <c r="E101" s="3">
        <f t="shared" si="201"/>
        <v>77877.025892999984</v>
      </c>
      <c r="F101" s="3">
        <f t="shared" si="201"/>
        <v>79940.767079164478</v>
      </c>
      <c r="G101" s="3">
        <f t="shared" si="201"/>
        <v>82059.197406762338</v>
      </c>
      <c r="H101" s="3">
        <f t="shared" si="201"/>
        <v>84233.766138041537</v>
      </c>
      <c r="I101" s="108">
        <f t="shared" ref="I101:I113" si="202">SUM(B101:H101)</f>
        <v>545885.3185169684</v>
      </c>
    </row>
    <row r="102" spans="1:9" ht="15.75" thickBot="1" x14ac:dyDescent="0.3">
      <c r="A102" s="14" t="s">
        <v>37</v>
      </c>
      <c r="B102" s="25">
        <f>B101*B100</f>
        <v>8709264000</v>
      </c>
      <c r="C102" s="25">
        <f t="shared" ref="C102" si="203">C101*C100</f>
        <v>9387062470.8000011</v>
      </c>
      <c r="D102" s="25">
        <f t="shared" ref="D102" si="204">D101*D100</f>
        <v>10117610607.59001</v>
      </c>
      <c r="E102" s="25">
        <f t="shared" ref="E102" si="205">E101*E100</f>
        <v>10905013653.125702</v>
      </c>
      <c r="F102" s="25">
        <f t="shared" ref="F102" si="206">F101*F100</f>
        <v>11753696340.680208</v>
      </c>
      <c r="G102" s="25">
        <f t="shared" ref="G102" si="207">G101*G100</f>
        <v>12668427758.393648</v>
      </c>
      <c r="H102" s="25">
        <f t="shared" ref="H102" si="208">H101*H100</f>
        <v>13654348148.690632</v>
      </c>
      <c r="I102" s="108">
        <f t="shared" si="202"/>
        <v>77195422979.280197</v>
      </c>
    </row>
    <row r="103" spans="1:9" ht="15.75" thickBot="1" x14ac:dyDescent="0.3">
      <c r="A103" s="5" t="s">
        <v>7</v>
      </c>
      <c r="B103" s="51">
        <f>$B$6</f>
        <v>1000</v>
      </c>
      <c r="C103" s="51">
        <f t="shared" ref="C103:H103" si="209">$B$6</f>
        <v>1000</v>
      </c>
      <c r="D103" s="51">
        <f t="shared" si="209"/>
        <v>1000</v>
      </c>
      <c r="E103" s="51">
        <f t="shared" si="209"/>
        <v>1000</v>
      </c>
      <c r="F103" s="51">
        <f t="shared" si="209"/>
        <v>1000</v>
      </c>
      <c r="G103" s="51">
        <f t="shared" si="209"/>
        <v>1000</v>
      </c>
      <c r="H103" s="51">
        <f t="shared" si="209"/>
        <v>1000</v>
      </c>
      <c r="I103" s="108">
        <f t="shared" si="202"/>
        <v>7000</v>
      </c>
    </row>
    <row r="104" spans="1:9" ht="15.75" thickBot="1" x14ac:dyDescent="0.3">
      <c r="A104" s="14" t="s">
        <v>38</v>
      </c>
      <c r="B104" s="25">
        <f>B103*B100</f>
        <v>120962000</v>
      </c>
      <c r="C104" s="25">
        <f t="shared" ref="C104" si="210">C103*C100</f>
        <v>127010100</v>
      </c>
      <c r="D104" s="25">
        <f t="shared" ref="D104" si="211">D103*D100</f>
        <v>133360605.00000001</v>
      </c>
      <c r="E104" s="25">
        <f t="shared" ref="E104" si="212">E103*E100</f>
        <v>140028635.25000003</v>
      </c>
      <c r="F104" s="25">
        <f t="shared" ref="F104" si="213">F103*F100</f>
        <v>147030067.01250002</v>
      </c>
      <c r="G104" s="25">
        <f t="shared" ref="G104" si="214">G103*G100</f>
        <v>154381570.36312503</v>
      </c>
      <c r="H104" s="25">
        <f t="shared" ref="H104" si="215">H103*H100</f>
        <v>162100648.88128129</v>
      </c>
      <c r="I104" s="108">
        <f t="shared" si="202"/>
        <v>984873626.50690639</v>
      </c>
    </row>
    <row r="105" spans="1:9" ht="15.75" thickBot="1" x14ac:dyDescent="0.3">
      <c r="A105" s="15" t="s">
        <v>36</v>
      </c>
      <c r="B105" s="109">
        <f>SUM(B104,B102)</f>
        <v>8830226000</v>
      </c>
      <c r="C105" s="109">
        <f t="shared" ref="C105" si="216">SUM(C104,C102)</f>
        <v>9514072570.8000011</v>
      </c>
      <c r="D105" s="109">
        <f t="shared" ref="D105" si="217">SUM(D104,D102)</f>
        <v>10250971212.59001</v>
      </c>
      <c r="E105" s="109">
        <f t="shared" ref="E105" si="218">SUM(E104,E102)</f>
        <v>11045042288.375702</v>
      </c>
      <c r="F105" s="109">
        <f t="shared" ref="F105" si="219">SUM(F104,F102)</f>
        <v>11900726407.692709</v>
      </c>
      <c r="G105" s="109">
        <f t="shared" ref="G105" si="220">SUM(G104,G102)</f>
        <v>12822809328.756773</v>
      </c>
      <c r="H105" s="109">
        <f t="shared" ref="H105" si="221">SUM(H104,H102)</f>
        <v>13816448797.571913</v>
      </c>
      <c r="I105" s="108">
        <f t="shared" si="202"/>
        <v>78180296605.787109</v>
      </c>
    </row>
    <row r="106" spans="1:9" ht="15.75" thickBot="1" x14ac:dyDescent="0.3">
      <c r="A106" s="5" t="str">
        <f>A89</f>
        <v>Cost to Build and Sell (50%)</v>
      </c>
      <c r="B106" s="51">
        <f>'(4) ANALYSIS ASSUMPTIONS'!D21</f>
        <v>-36000</v>
      </c>
      <c r="C106" s="3">
        <f>B106*(1+$B$3)</f>
        <v>-36792</v>
      </c>
      <c r="D106" s="3">
        <f t="shared" ref="D106:H106" si="222">C106*(1+$B$3)</f>
        <v>-37601.423999999999</v>
      </c>
      <c r="E106" s="3">
        <f t="shared" si="222"/>
        <v>-38428.655328000001</v>
      </c>
      <c r="F106" s="3">
        <f t="shared" si="222"/>
        <v>-39274.085745215998</v>
      </c>
      <c r="G106" s="3">
        <f t="shared" si="222"/>
        <v>-40138.115631610752</v>
      </c>
      <c r="H106" s="3">
        <f t="shared" si="222"/>
        <v>-41021.154175506192</v>
      </c>
      <c r="I106" s="108">
        <f t="shared" si="202"/>
        <v>-269255.43488033296</v>
      </c>
    </row>
    <row r="107" spans="1:9" ht="15.75" thickBot="1" x14ac:dyDescent="0.3">
      <c r="A107" s="14" t="s">
        <v>40</v>
      </c>
      <c r="B107" s="25">
        <f>B106*B100</f>
        <v>-4354632000</v>
      </c>
      <c r="C107" s="25">
        <f t="shared" ref="C107" si="223">C106*C100</f>
        <v>-4672955599.1999998</v>
      </c>
      <c r="D107" s="25">
        <f t="shared" ref="D107" si="224">D106*D100</f>
        <v>-5014548653.5015202</v>
      </c>
      <c r="E107" s="25">
        <f t="shared" ref="E107" si="225">E106*E100</f>
        <v>-5381112160.0724821</v>
      </c>
      <c r="F107" s="25">
        <f t="shared" ref="F107" si="226">F106*F100</f>
        <v>-5774471458.9737797</v>
      </c>
      <c r="G107" s="25">
        <f t="shared" ref="G107" si="227">G106*G100</f>
        <v>-6196585322.6247644</v>
      </c>
      <c r="H107" s="25">
        <f t="shared" ref="H107" si="228">H106*H100</f>
        <v>-6649555709.7086353</v>
      </c>
      <c r="I107" s="108">
        <f t="shared" si="202"/>
        <v>-38043860904.081177</v>
      </c>
    </row>
    <row r="108" spans="1:9" ht="15.75" thickBot="1" x14ac:dyDescent="0.3">
      <c r="A108" s="16" t="s">
        <v>39</v>
      </c>
      <c r="B108" s="25">
        <f>SUM(B105,B107)</f>
        <v>4475594000</v>
      </c>
      <c r="C108" s="25">
        <f t="shared" ref="C108" si="229">SUM(C105,C107)</f>
        <v>4841116971.6000013</v>
      </c>
      <c r="D108" s="25">
        <f t="shared" ref="D108" si="230">SUM(D105,D107)</f>
        <v>5236422559.0884895</v>
      </c>
      <c r="E108" s="25">
        <f t="shared" ref="E108" si="231">SUM(E105,E107)</f>
        <v>5663930128.3032198</v>
      </c>
      <c r="F108" s="25">
        <f t="shared" ref="F108" si="232">SUM(F105,F107)</f>
        <v>6126254948.7189293</v>
      </c>
      <c r="G108" s="25">
        <f t="shared" ref="G108" si="233">SUM(G105,G107)</f>
        <v>6626224006.1320086</v>
      </c>
      <c r="H108" s="25">
        <f t="shared" ref="H108" si="234">SUM(H105,H107)</f>
        <v>7166893087.8632774</v>
      </c>
      <c r="I108" s="108">
        <f t="shared" si="202"/>
        <v>40136435701.705925</v>
      </c>
    </row>
    <row r="109" spans="1:9" ht="15.75" thickBot="1" x14ac:dyDescent="0.3">
      <c r="A109" s="5" t="str">
        <f>A92</f>
        <v>G&amp;A Expenses (13% of Revenue)</v>
      </c>
      <c r="B109" s="25">
        <f>$B$10*B105</f>
        <v>-1147929380</v>
      </c>
      <c r="C109" s="25">
        <f t="shared" ref="C109:H109" si="235">$B$10*C105</f>
        <v>-1236829434.2040002</v>
      </c>
      <c r="D109" s="25">
        <f t="shared" si="235"/>
        <v>-1332626257.6367013</v>
      </c>
      <c r="E109" s="25">
        <f t="shared" si="235"/>
        <v>-1435855497.4888413</v>
      </c>
      <c r="F109" s="25">
        <f t="shared" si="235"/>
        <v>-1547094433.0000522</v>
      </c>
      <c r="G109" s="25">
        <f t="shared" si="235"/>
        <v>-1666965212.7383804</v>
      </c>
      <c r="H109" s="25">
        <f t="shared" si="235"/>
        <v>-1796138343.6843488</v>
      </c>
      <c r="I109" s="108">
        <f t="shared" si="202"/>
        <v>-10163438558.752325</v>
      </c>
    </row>
    <row r="110" spans="1:9" ht="15.75" thickBot="1" x14ac:dyDescent="0.3">
      <c r="A110" s="5" t="s">
        <v>41</v>
      </c>
      <c r="B110" s="51">
        <f>$B$8</f>
        <v>-750000</v>
      </c>
      <c r="C110" s="51">
        <f t="shared" ref="C110:H110" si="236">$B$8</f>
        <v>-750000</v>
      </c>
      <c r="D110" s="51">
        <f t="shared" si="236"/>
        <v>-750000</v>
      </c>
      <c r="E110" s="51">
        <f t="shared" si="236"/>
        <v>-750000</v>
      </c>
      <c r="F110" s="51">
        <f t="shared" si="236"/>
        <v>-750000</v>
      </c>
      <c r="G110" s="51">
        <f t="shared" si="236"/>
        <v>-750000</v>
      </c>
      <c r="H110" s="51">
        <f t="shared" si="236"/>
        <v>-750000</v>
      </c>
      <c r="I110" s="108">
        <f t="shared" si="202"/>
        <v>-5250000</v>
      </c>
    </row>
    <row r="111" spans="1:9" ht="15.75" thickBot="1" x14ac:dyDescent="0.3">
      <c r="A111" s="16" t="s">
        <v>42</v>
      </c>
      <c r="B111" s="25">
        <f>B108+B109+B110</f>
        <v>3326914620</v>
      </c>
      <c r="C111" s="25">
        <f t="shared" ref="C111" si="237">C108+C109+C110</f>
        <v>3603537537.3960009</v>
      </c>
      <c r="D111" s="25">
        <f t="shared" ref="D111" si="238">D108+D109+D110</f>
        <v>3903046301.4517879</v>
      </c>
      <c r="E111" s="25">
        <f t="shared" ref="E111" si="239">E108+E109+E110</f>
        <v>4227324630.8143787</v>
      </c>
      <c r="F111" s="25">
        <f t="shared" ref="F111" si="240">F108+F109+F110</f>
        <v>4578410515.7188768</v>
      </c>
      <c r="G111" s="25">
        <f t="shared" ref="G111" si="241">G108+G109+G110</f>
        <v>4958508793.3936281</v>
      </c>
      <c r="H111" s="25">
        <f t="shared" ref="H111" si="242">H108+H109+H110</f>
        <v>5370004744.1789284</v>
      </c>
      <c r="I111" s="108">
        <f t="shared" si="202"/>
        <v>29967747142.953602</v>
      </c>
    </row>
    <row r="112" spans="1:9" ht="15.75" thickBot="1" x14ac:dyDescent="0.3">
      <c r="A112" s="5" t="s">
        <v>43</v>
      </c>
      <c r="B112" s="51">
        <f>$B$9</f>
        <v>-120000</v>
      </c>
      <c r="C112" s="51">
        <f t="shared" ref="C112:H112" si="243">$B$9</f>
        <v>-120000</v>
      </c>
      <c r="D112" s="51">
        <f t="shared" si="243"/>
        <v>-120000</v>
      </c>
      <c r="E112" s="51">
        <f t="shared" si="243"/>
        <v>-120000</v>
      </c>
      <c r="F112" s="51">
        <f t="shared" si="243"/>
        <v>-120000</v>
      </c>
      <c r="G112" s="51">
        <f t="shared" si="243"/>
        <v>-120000</v>
      </c>
      <c r="H112" s="51">
        <f t="shared" si="243"/>
        <v>-120000</v>
      </c>
      <c r="I112" s="108">
        <f t="shared" si="202"/>
        <v>-840000</v>
      </c>
    </row>
    <row r="113" spans="1:9" ht="15" x14ac:dyDescent="0.25">
      <c r="A113" s="16" t="s">
        <v>44</v>
      </c>
      <c r="B113" s="107">
        <f>B111+B112</f>
        <v>3326794620</v>
      </c>
      <c r="C113" s="107">
        <f t="shared" ref="C113" si="244">C111+C112</f>
        <v>3603417537.3960009</v>
      </c>
      <c r="D113" s="107">
        <f t="shared" ref="D113" si="245">D111+D112</f>
        <v>3902926301.4517879</v>
      </c>
      <c r="E113" s="107">
        <f t="shared" ref="E113" si="246">E111+E112</f>
        <v>4227204630.8143787</v>
      </c>
      <c r="F113" s="107">
        <f t="shared" ref="F113" si="247">F111+F112</f>
        <v>4578290515.7188768</v>
      </c>
      <c r="G113" s="107">
        <f t="shared" ref="G113" si="248">G111+G112</f>
        <v>4958388793.3936281</v>
      </c>
      <c r="H113" s="107">
        <f t="shared" ref="H113" si="249">H111+H112</f>
        <v>5369884744.1789284</v>
      </c>
      <c r="I113" s="108">
        <f t="shared" si="202"/>
        <v>29966907142.953602</v>
      </c>
    </row>
    <row r="114" spans="1:9" ht="15.75" thickBot="1" x14ac:dyDescent="0.3">
      <c r="A114" s="6" t="s">
        <v>32</v>
      </c>
      <c r="B114" s="52">
        <f>B113</f>
        <v>3326794620</v>
      </c>
      <c r="C114" s="52">
        <f t="shared" ref="C114" si="250">C113</f>
        <v>3603417537.3960009</v>
      </c>
      <c r="D114" s="52">
        <f t="shared" ref="D114" si="251">D113</f>
        <v>3902926301.4517879</v>
      </c>
      <c r="E114" s="52">
        <f t="shared" ref="E114" si="252">E113</f>
        <v>4227204630.8143787</v>
      </c>
      <c r="F114" s="52">
        <f t="shared" ref="F114" si="253">F113</f>
        <v>4578290515.7188768</v>
      </c>
      <c r="G114" s="52">
        <f t="shared" ref="G114" si="254">G113</f>
        <v>4958388793.3936281</v>
      </c>
      <c r="H114" s="52">
        <f t="shared" ref="H114" si="255">H113</f>
        <v>5369884744.1789284</v>
      </c>
      <c r="I114" s="53">
        <f>SUM(B114:H114)</f>
        <v>29966907142.953602</v>
      </c>
    </row>
    <row r="115" spans="1:9" ht="15.75" thickTop="1" thickBot="1" x14ac:dyDescent="0.25">
      <c r="A115" s="57"/>
      <c r="B115" s="57"/>
      <c r="C115" s="57"/>
      <c r="D115" s="57"/>
      <c r="E115" s="57"/>
      <c r="F115" s="57"/>
      <c r="G115" s="57"/>
      <c r="H115" s="57"/>
      <c r="I115" s="57"/>
    </row>
    <row r="116" spans="1:9" ht="16.5" thickBot="1" x14ac:dyDescent="0.3">
      <c r="A116" s="80" t="str">
        <f>A99</f>
        <v>Average Case Scenario (5% Growth)</v>
      </c>
      <c r="B116" s="60" t="s">
        <v>46</v>
      </c>
      <c r="C116" s="60" t="s">
        <v>0</v>
      </c>
      <c r="D116" s="60" t="s">
        <v>1</v>
      </c>
      <c r="E116" s="60" t="s">
        <v>2</v>
      </c>
      <c r="F116" s="60" t="s">
        <v>3</v>
      </c>
      <c r="G116" s="60" t="s">
        <v>4</v>
      </c>
      <c r="H116" s="61" t="s">
        <v>5</v>
      </c>
      <c r="I116" s="62" t="s">
        <v>63</v>
      </c>
    </row>
    <row r="117" spans="1:9" ht="15.75" thickBot="1" x14ac:dyDescent="0.3">
      <c r="A117" s="26" t="s">
        <v>27</v>
      </c>
      <c r="B117" s="50">
        <f>'(4) ANALYSIS ASSUMPTIONS'!B22</f>
        <v>86000</v>
      </c>
      <c r="C117" s="59">
        <f>B117*(1+$B$1)</f>
        <v>90300</v>
      </c>
      <c r="D117" s="59">
        <f t="shared" ref="D117:H117" si="256">C117*(1+$B$1)</f>
        <v>94815</v>
      </c>
      <c r="E117" s="59">
        <f t="shared" si="256"/>
        <v>99555.75</v>
      </c>
      <c r="F117" s="59">
        <f t="shared" si="256"/>
        <v>104533.53750000001</v>
      </c>
      <c r="G117" s="59">
        <f t="shared" si="256"/>
        <v>109760.21437500001</v>
      </c>
      <c r="H117" s="59">
        <f t="shared" si="256"/>
        <v>115248.22509375002</v>
      </c>
      <c r="I117" s="108">
        <f>SUM(B117:H117)</f>
        <v>700212.72696875001</v>
      </c>
    </row>
    <row r="118" spans="1:9" ht="15.75" thickBot="1" x14ac:dyDescent="0.3">
      <c r="A118" s="26" t="s">
        <v>6</v>
      </c>
      <c r="B118" s="51">
        <f>'(4) ANALYSIS ASSUMPTIONS'!C22</f>
        <v>81500</v>
      </c>
      <c r="C118" s="3">
        <f>B118*(1+$B$2)</f>
        <v>83659.75</v>
      </c>
      <c r="D118" s="3">
        <f t="shared" ref="D118:H118" si="257">C118*(1+$B$2)</f>
        <v>85876.733374999996</v>
      </c>
      <c r="E118" s="3">
        <f t="shared" si="257"/>
        <v>88152.466809437494</v>
      </c>
      <c r="F118" s="3">
        <f t="shared" si="257"/>
        <v>90488.507179887587</v>
      </c>
      <c r="G118" s="3">
        <f t="shared" si="257"/>
        <v>92886.45262015461</v>
      </c>
      <c r="H118" s="3">
        <f t="shared" si="257"/>
        <v>95347.943614588701</v>
      </c>
      <c r="I118" s="108">
        <f t="shared" ref="I118:I130" si="258">SUM(B118:H118)</f>
        <v>617911.85359906836</v>
      </c>
    </row>
    <row r="119" spans="1:9" ht="15.75" thickBot="1" x14ac:dyDescent="0.3">
      <c r="A119" s="27" t="s">
        <v>37</v>
      </c>
      <c r="B119" s="25">
        <f>B118*B117</f>
        <v>7009000000</v>
      </c>
      <c r="C119" s="25">
        <f t="shared" ref="C119" si="259">C118*C117</f>
        <v>7554475425</v>
      </c>
      <c r="D119" s="25">
        <f t="shared" ref="D119" si="260">D118*D117</f>
        <v>8142402474.9506245</v>
      </c>
      <c r="E119" s="25">
        <f t="shared" ref="E119" si="261">E118*E117</f>
        <v>8776084947.5636559</v>
      </c>
      <c r="F119" s="25">
        <f t="shared" ref="F119" si="262">F118*F117</f>
        <v>9459083758.6077995</v>
      </c>
      <c r="G119" s="25">
        <f t="shared" ref="G119" si="263">G118*G117</f>
        <v>10195236952.121452</v>
      </c>
      <c r="H119" s="25">
        <f t="shared" ref="H119" si="264">H118*H117</f>
        <v>10988681267.920303</v>
      </c>
      <c r="I119" s="108">
        <f t="shared" si="258"/>
        <v>62124964826.163834</v>
      </c>
    </row>
    <row r="120" spans="1:9" ht="15.75" thickBot="1" x14ac:dyDescent="0.3">
      <c r="A120" s="26" t="s">
        <v>7</v>
      </c>
      <c r="B120" s="51">
        <f>$B$6</f>
        <v>1000</v>
      </c>
      <c r="C120" s="51">
        <f t="shared" ref="C120:H120" si="265">$B$6</f>
        <v>1000</v>
      </c>
      <c r="D120" s="51">
        <f t="shared" si="265"/>
        <v>1000</v>
      </c>
      <c r="E120" s="51">
        <f t="shared" si="265"/>
        <v>1000</v>
      </c>
      <c r="F120" s="51">
        <f t="shared" si="265"/>
        <v>1000</v>
      </c>
      <c r="G120" s="51">
        <f t="shared" si="265"/>
        <v>1000</v>
      </c>
      <c r="H120" s="51">
        <f t="shared" si="265"/>
        <v>1000</v>
      </c>
      <c r="I120" s="108">
        <f t="shared" si="258"/>
        <v>7000</v>
      </c>
    </row>
    <row r="121" spans="1:9" ht="15.75" thickBot="1" x14ac:dyDescent="0.3">
      <c r="A121" s="27" t="s">
        <v>38</v>
      </c>
      <c r="B121" s="25">
        <f>B120*B117</f>
        <v>86000000</v>
      </c>
      <c r="C121" s="25">
        <f t="shared" ref="C121" si="266">C120*C117</f>
        <v>90300000</v>
      </c>
      <c r="D121" s="25">
        <f t="shared" ref="D121" si="267">D120*D117</f>
        <v>94815000</v>
      </c>
      <c r="E121" s="25">
        <f t="shared" ref="E121" si="268">E120*E117</f>
        <v>99555750</v>
      </c>
      <c r="F121" s="25">
        <f t="shared" ref="F121" si="269">F120*F117</f>
        <v>104533537.5</v>
      </c>
      <c r="G121" s="25">
        <f t="shared" ref="G121" si="270">G120*G117</f>
        <v>109760214.37500001</v>
      </c>
      <c r="H121" s="25">
        <f t="shared" ref="H121" si="271">H120*H117</f>
        <v>115248225.09375001</v>
      </c>
      <c r="I121" s="108">
        <f t="shared" si="258"/>
        <v>700212726.96875</v>
      </c>
    </row>
    <row r="122" spans="1:9" ht="15.75" thickBot="1" x14ac:dyDescent="0.3">
      <c r="A122" s="15" t="s">
        <v>36</v>
      </c>
      <c r="B122" s="109">
        <f>SUM(B121,B119)</f>
        <v>7095000000</v>
      </c>
      <c r="C122" s="109">
        <f t="shared" ref="C122" si="272">SUM(C121,C119)</f>
        <v>7644775425</v>
      </c>
      <c r="D122" s="109">
        <f t="shared" ref="D122" si="273">SUM(D121,D119)</f>
        <v>8237217474.9506245</v>
      </c>
      <c r="E122" s="109">
        <f t="shared" ref="E122" si="274">SUM(E121,E119)</f>
        <v>8875640697.5636559</v>
      </c>
      <c r="F122" s="109">
        <f t="shared" ref="F122" si="275">SUM(F121,F119)</f>
        <v>9563617296.1077995</v>
      </c>
      <c r="G122" s="109">
        <f t="shared" ref="G122" si="276">SUM(G121,G119)</f>
        <v>10304997166.496452</v>
      </c>
      <c r="H122" s="109">
        <f t="shared" ref="H122" si="277">SUM(H121,H119)</f>
        <v>11103929493.014053</v>
      </c>
      <c r="I122" s="108">
        <f t="shared" si="258"/>
        <v>62825177553.132584</v>
      </c>
    </row>
    <row r="123" spans="1:9" ht="15.75" thickBot="1" x14ac:dyDescent="0.3">
      <c r="A123" s="5" t="str">
        <f>A106</f>
        <v>Cost to Build and Sell (50%)</v>
      </c>
      <c r="B123" s="51">
        <f>'(4) ANALYSIS ASSUMPTIONS'!D22</f>
        <v>-40750</v>
      </c>
      <c r="C123" s="3">
        <f>B123*(1+$B$3)</f>
        <v>-41646.5</v>
      </c>
      <c r="D123" s="3">
        <f t="shared" ref="D123:H123" si="278">C123*(1+$B$3)</f>
        <v>-42562.722999999998</v>
      </c>
      <c r="E123" s="3">
        <f t="shared" si="278"/>
        <v>-43499.102906</v>
      </c>
      <c r="F123" s="3">
        <f t="shared" si="278"/>
        <v>-44456.083169932004</v>
      </c>
      <c r="G123" s="3">
        <f t="shared" si="278"/>
        <v>-45434.116999670507</v>
      </c>
      <c r="H123" s="3">
        <f t="shared" si="278"/>
        <v>-46433.667573663261</v>
      </c>
      <c r="I123" s="108">
        <f t="shared" si="258"/>
        <v>-304782.1936492658</v>
      </c>
    </row>
    <row r="124" spans="1:9" ht="15.75" thickBot="1" x14ac:dyDescent="0.3">
      <c r="A124" s="14" t="s">
        <v>40</v>
      </c>
      <c r="B124" s="25">
        <f>B123*B117</f>
        <v>-3504500000</v>
      </c>
      <c r="C124" s="25">
        <f t="shared" ref="C124" si="279">C123*C117</f>
        <v>-3760678950</v>
      </c>
      <c r="D124" s="25">
        <f t="shared" ref="D124" si="280">D123*D117</f>
        <v>-4035584581.2449999</v>
      </c>
      <c r="E124" s="25">
        <f t="shared" ref="E124" si="281">E123*E117</f>
        <v>-4330585814.1340094</v>
      </c>
      <c r="F124" s="25">
        <f t="shared" ref="F124" si="282">F123*F117</f>
        <v>-4647151637.1472063</v>
      </c>
      <c r="G124" s="25">
        <f t="shared" ref="G124" si="283">G123*G117</f>
        <v>-4986858421.8226671</v>
      </c>
      <c r="H124" s="25">
        <f t="shared" ref="H124" si="284">H123*H117</f>
        <v>-5351397772.4579048</v>
      </c>
      <c r="I124" s="108">
        <f t="shared" si="258"/>
        <v>-30616757176.806786</v>
      </c>
    </row>
    <row r="125" spans="1:9" ht="15.75" thickBot="1" x14ac:dyDescent="0.3">
      <c r="A125" s="16" t="s">
        <v>39</v>
      </c>
      <c r="B125" s="25">
        <f>SUM(B122,B124)</f>
        <v>3590500000</v>
      </c>
      <c r="C125" s="25">
        <f t="shared" ref="C125" si="285">SUM(C122,C124)</f>
        <v>3884096475</v>
      </c>
      <c r="D125" s="25">
        <f t="shared" ref="D125" si="286">SUM(D122,D124)</f>
        <v>4201632893.7056246</v>
      </c>
      <c r="E125" s="25">
        <f t="shared" ref="E125" si="287">SUM(E122,E124)</f>
        <v>4545054883.4296465</v>
      </c>
      <c r="F125" s="25">
        <f t="shared" ref="F125" si="288">SUM(F122,F124)</f>
        <v>4916465658.9605932</v>
      </c>
      <c r="G125" s="25">
        <f t="shared" ref="G125" si="289">SUM(G122,G124)</f>
        <v>5318138744.6737852</v>
      </c>
      <c r="H125" s="25">
        <f t="shared" ref="H125" si="290">SUM(H122,H124)</f>
        <v>5752531720.5561485</v>
      </c>
      <c r="I125" s="108">
        <f t="shared" si="258"/>
        <v>32208420376.325798</v>
      </c>
    </row>
    <row r="126" spans="1:9" ht="15.75" thickBot="1" x14ac:dyDescent="0.3">
      <c r="A126" s="5" t="str">
        <f>A109</f>
        <v>G&amp;A Expenses (13% of Revenue)</v>
      </c>
      <c r="B126" s="25">
        <f>$B$10*B122</f>
        <v>-922350000</v>
      </c>
      <c r="C126" s="25">
        <f t="shared" ref="C126:H126" si="291">$B$10*C122</f>
        <v>-993820805.25</v>
      </c>
      <c r="D126" s="25">
        <f t="shared" si="291"/>
        <v>-1070838271.7435812</v>
      </c>
      <c r="E126" s="25">
        <f t="shared" si="291"/>
        <v>-1153833290.6832752</v>
      </c>
      <c r="F126" s="25">
        <f t="shared" si="291"/>
        <v>-1243270248.494014</v>
      </c>
      <c r="G126" s="25">
        <f t="shared" si="291"/>
        <v>-1339649631.6445389</v>
      </c>
      <c r="H126" s="25">
        <f t="shared" si="291"/>
        <v>-1443510834.0918269</v>
      </c>
      <c r="I126" s="108">
        <f t="shared" si="258"/>
        <v>-8167273081.9072361</v>
      </c>
    </row>
    <row r="127" spans="1:9" ht="15.75" thickBot="1" x14ac:dyDescent="0.3">
      <c r="A127" s="26" t="s">
        <v>41</v>
      </c>
      <c r="B127" s="51">
        <f>$B$8</f>
        <v>-750000</v>
      </c>
      <c r="C127" s="51">
        <f t="shared" ref="C127:H127" si="292">$B$8</f>
        <v>-750000</v>
      </c>
      <c r="D127" s="51">
        <f t="shared" si="292"/>
        <v>-750000</v>
      </c>
      <c r="E127" s="51">
        <f t="shared" si="292"/>
        <v>-750000</v>
      </c>
      <c r="F127" s="51">
        <f t="shared" si="292"/>
        <v>-750000</v>
      </c>
      <c r="G127" s="51">
        <f t="shared" si="292"/>
        <v>-750000</v>
      </c>
      <c r="H127" s="51">
        <f t="shared" si="292"/>
        <v>-750000</v>
      </c>
      <c r="I127" s="108">
        <f t="shared" si="258"/>
        <v>-5250000</v>
      </c>
    </row>
    <row r="128" spans="1:9" ht="15.75" thickBot="1" x14ac:dyDescent="0.3">
      <c r="A128" s="28" t="s">
        <v>42</v>
      </c>
      <c r="B128" s="25">
        <f>B125+B126+B127</f>
        <v>2667400000</v>
      </c>
      <c r="C128" s="25">
        <f t="shared" ref="C128" si="293">C125+C126+C127</f>
        <v>2889525669.75</v>
      </c>
      <c r="D128" s="25">
        <f t="shared" ref="D128" si="294">D125+D126+D127</f>
        <v>3130044621.9620433</v>
      </c>
      <c r="E128" s="25">
        <f t="shared" ref="E128" si="295">E125+E126+E127</f>
        <v>3390471592.7463713</v>
      </c>
      <c r="F128" s="25">
        <f t="shared" ref="F128" si="296">F125+F126+F127</f>
        <v>3672445410.4665794</v>
      </c>
      <c r="G128" s="25">
        <f t="shared" ref="G128" si="297">G125+G126+G127</f>
        <v>3977739113.0292463</v>
      </c>
      <c r="H128" s="25">
        <f t="shared" ref="H128" si="298">H125+H126+H127</f>
        <v>4308270886.4643211</v>
      </c>
      <c r="I128" s="108">
        <f t="shared" si="258"/>
        <v>24035897294.418564</v>
      </c>
    </row>
    <row r="129" spans="1:13" ht="15.75" thickBot="1" x14ac:dyDescent="0.3">
      <c r="A129" s="26" t="s">
        <v>43</v>
      </c>
      <c r="B129" s="51">
        <f>$B$9</f>
        <v>-120000</v>
      </c>
      <c r="C129" s="51">
        <f t="shared" ref="C129:H129" si="299">$B$9</f>
        <v>-120000</v>
      </c>
      <c r="D129" s="51">
        <f t="shared" si="299"/>
        <v>-120000</v>
      </c>
      <c r="E129" s="51">
        <f t="shared" si="299"/>
        <v>-120000</v>
      </c>
      <c r="F129" s="51">
        <f t="shared" si="299"/>
        <v>-120000</v>
      </c>
      <c r="G129" s="51">
        <f t="shared" si="299"/>
        <v>-120000</v>
      </c>
      <c r="H129" s="51">
        <f t="shared" si="299"/>
        <v>-120000</v>
      </c>
      <c r="I129" s="108">
        <f t="shared" si="258"/>
        <v>-840000</v>
      </c>
    </row>
    <row r="130" spans="1:13" ht="15" x14ac:dyDescent="0.25">
      <c r="A130" s="28" t="s">
        <v>44</v>
      </c>
      <c r="B130" s="107">
        <f>B128+B129</f>
        <v>2667280000</v>
      </c>
      <c r="C130" s="107">
        <f t="shared" ref="C130" si="300">C128+C129</f>
        <v>2889405669.75</v>
      </c>
      <c r="D130" s="107">
        <f t="shared" ref="D130" si="301">D128+D129</f>
        <v>3129924621.9620433</v>
      </c>
      <c r="E130" s="107">
        <f t="shared" ref="E130" si="302">E128+E129</f>
        <v>3390351592.7463713</v>
      </c>
      <c r="F130" s="107">
        <f t="shared" ref="F130" si="303">F128+F129</f>
        <v>3672325410.4665794</v>
      </c>
      <c r="G130" s="107">
        <f t="shared" ref="G130" si="304">G128+G129</f>
        <v>3977619113.0292463</v>
      </c>
      <c r="H130" s="107">
        <f t="shared" ref="H130" si="305">H128+H129</f>
        <v>4308150886.4643211</v>
      </c>
      <c r="I130" s="108">
        <f t="shared" si="258"/>
        <v>24035057294.418564</v>
      </c>
    </row>
    <row r="131" spans="1:13" ht="15.75" thickBot="1" x14ac:dyDescent="0.3">
      <c r="A131" s="6" t="s">
        <v>33</v>
      </c>
      <c r="B131" s="52">
        <f>B130</f>
        <v>2667280000</v>
      </c>
      <c r="C131" s="52">
        <f t="shared" ref="C131" si="306">C130</f>
        <v>2889405669.75</v>
      </c>
      <c r="D131" s="52">
        <f t="shared" ref="D131" si="307">D130</f>
        <v>3129924621.9620433</v>
      </c>
      <c r="E131" s="52">
        <f t="shared" ref="E131" si="308">E130</f>
        <v>3390351592.7463713</v>
      </c>
      <c r="F131" s="52">
        <f t="shared" ref="F131" si="309">F130</f>
        <v>3672325410.4665794</v>
      </c>
      <c r="G131" s="52">
        <f t="shared" ref="G131" si="310">G130</f>
        <v>3977619113.0292463</v>
      </c>
      <c r="H131" s="52">
        <f t="shared" ref="H131" si="311">H130</f>
        <v>4308150886.4643211</v>
      </c>
      <c r="I131" s="53">
        <f>SUM(B131:H131)</f>
        <v>24035057294.418564</v>
      </c>
    </row>
    <row r="132" spans="1:13" ht="16.5" thickTop="1" thickBot="1" x14ac:dyDescent="0.3">
      <c r="A132" s="119"/>
      <c r="B132" s="12"/>
      <c r="C132" s="12"/>
      <c r="D132" s="12"/>
      <c r="E132" s="12"/>
      <c r="F132" s="12"/>
      <c r="G132" s="12"/>
      <c r="H132" s="12"/>
      <c r="I132" s="2"/>
    </row>
    <row r="133" spans="1:13" ht="15" x14ac:dyDescent="0.25">
      <c r="A133" s="83" t="s">
        <v>65</v>
      </c>
      <c r="B133" s="86">
        <f>B23+B40+B57+B74+B91+B108+B125</f>
        <v>58180014000</v>
      </c>
      <c r="C133" s="86">
        <f t="shared" ref="C133:H133" si="312">C23+C40+C57+C74+C91+C108+C125</f>
        <v>62915156022.599998</v>
      </c>
      <c r="D133" s="86">
        <f t="shared" si="312"/>
        <v>68035298058.970505</v>
      </c>
      <c r="E133" s="86">
        <f t="shared" si="312"/>
        <v>73571674739.710007</v>
      </c>
      <c r="F133" s="86">
        <f t="shared" si="312"/>
        <v>79558047852.174194</v>
      </c>
      <c r="G133" s="86">
        <f t="shared" si="312"/>
        <v>86030910224.466858</v>
      </c>
      <c r="H133" s="86">
        <f t="shared" si="312"/>
        <v>93029706011.953644</v>
      </c>
      <c r="I133" s="87">
        <f>SUM(B133:H133)</f>
        <v>521320806909.87524</v>
      </c>
      <c r="J133" s="23"/>
      <c r="K133" s="23"/>
      <c r="L133" s="23"/>
      <c r="M133" s="23"/>
    </row>
    <row r="134" spans="1:13" ht="15.75" thickBot="1" x14ac:dyDescent="0.3">
      <c r="A134" s="84" t="s">
        <v>66</v>
      </c>
      <c r="B134" s="88">
        <f>B25+B42+B59+B76+B93+B110+B127</f>
        <v>-5250000</v>
      </c>
      <c r="C134" s="88">
        <f t="shared" ref="C134:H134" si="313">C25+C42+C59+C76+C93+C110+C127</f>
        <v>-5250000</v>
      </c>
      <c r="D134" s="88">
        <f t="shared" si="313"/>
        <v>-5250000</v>
      </c>
      <c r="E134" s="88">
        <f t="shared" si="313"/>
        <v>-5250000</v>
      </c>
      <c r="F134" s="88">
        <f t="shared" si="313"/>
        <v>-5250000</v>
      </c>
      <c r="G134" s="88">
        <f t="shared" si="313"/>
        <v>-5250000</v>
      </c>
      <c r="H134" s="88">
        <f t="shared" si="313"/>
        <v>-5250000</v>
      </c>
      <c r="I134" s="89">
        <f>SUM(B134:H134)</f>
        <v>-36750000</v>
      </c>
      <c r="J134" s="23"/>
      <c r="K134" s="23"/>
      <c r="L134" s="23"/>
      <c r="M134" s="23"/>
    </row>
    <row r="135" spans="1:13" ht="15.75" thickBot="1" x14ac:dyDescent="0.3">
      <c r="A135" s="84" t="s">
        <v>106</v>
      </c>
      <c r="B135" s="88">
        <f>B28+B45+B62+B79+B96+B113+B130</f>
        <v>43317177420</v>
      </c>
      <c r="C135" s="88">
        <f t="shared" ref="C135:H135" si="314">C28+C45+C62+C79+C96+C113+C130</f>
        <v>46903607477.706001</v>
      </c>
      <c r="D135" s="88">
        <f t="shared" si="314"/>
        <v>50786014757.399361</v>
      </c>
      <c r="E135" s="88">
        <f t="shared" si="314"/>
        <v>54988724476.752266</v>
      </c>
      <c r="F135" s="88">
        <f t="shared" si="314"/>
        <v>59538052224.425354</v>
      </c>
      <c r="G135" s="88">
        <f t="shared" si="314"/>
        <v>64462466115.670769</v>
      </c>
      <c r="H135" s="88">
        <f t="shared" si="314"/>
        <v>69792762105.294357</v>
      </c>
      <c r="I135" s="89">
        <f>SUM(B135:H135)</f>
        <v>389788804577.24811</v>
      </c>
      <c r="J135" s="23"/>
      <c r="K135" s="23"/>
      <c r="L135" s="23"/>
      <c r="M135" s="23"/>
    </row>
    <row r="136" spans="1:13" ht="15.75" thickBot="1" x14ac:dyDescent="0.3">
      <c r="A136" s="85" t="s">
        <v>67</v>
      </c>
      <c r="B136" s="90">
        <f>B135-B134</f>
        <v>43322427420</v>
      </c>
      <c r="C136" s="90">
        <f t="shared" ref="C136:H136" si="315">C135-C134</f>
        <v>46908857477.706001</v>
      </c>
      <c r="D136" s="90">
        <f t="shared" si="315"/>
        <v>50791264757.399361</v>
      </c>
      <c r="E136" s="90">
        <f t="shared" si="315"/>
        <v>54993974476.752266</v>
      </c>
      <c r="F136" s="90">
        <f t="shared" si="315"/>
        <v>59543302224.425354</v>
      </c>
      <c r="G136" s="90">
        <f t="shared" si="315"/>
        <v>64467716115.670769</v>
      </c>
      <c r="H136" s="90">
        <f t="shared" si="315"/>
        <v>69798012105.294357</v>
      </c>
      <c r="I136" s="91">
        <f>SUM(B136:H136)</f>
        <v>389825554577.24811</v>
      </c>
    </row>
    <row r="137" spans="1:13" s="45" customFormat="1" ht="15.75" thickBot="1" x14ac:dyDescent="0.3">
      <c r="A137" s="46" t="s">
        <v>48</v>
      </c>
      <c r="B137" s="44" t="s">
        <v>48</v>
      </c>
      <c r="C137" s="44" t="s">
        <v>48</v>
      </c>
      <c r="D137" s="44" t="s">
        <v>48</v>
      </c>
      <c r="E137" s="44" t="s">
        <v>48</v>
      </c>
      <c r="F137" s="44" t="s">
        <v>48</v>
      </c>
      <c r="G137" s="44" t="s">
        <v>48</v>
      </c>
      <c r="H137" s="44" t="s">
        <v>48</v>
      </c>
      <c r="I137" s="44" t="s">
        <v>48</v>
      </c>
    </row>
    <row r="138" spans="1:13" ht="15.75" thickBot="1" x14ac:dyDescent="0.3">
      <c r="A138" s="24" t="s">
        <v>115</v>
      </c>
      <c r="B138" s="34">
        <f>B136</f>
        <v>43322427420</v>
      </c>
      <c r="C138" s="34">
        <f>C136/((1+$B$11)^1)</f>
        <v>44253639129.911324</v>
      </c>
      <c r="D138" s="34">
        <f>D136/((1+$B$11)^2)</f>
        <v>45204044817.906151</v>
      </c>
      <c r="E138" s="34">
        <f>E136/((1+$B$11)^3)</f>
        <v>46174001421.267433</v>
      </c>
      <c r="F138" s="34">
        <f>F136/((1+$B$11)^4)</f>
        <v>47163872380.23365</v>
      </c>
      <c r="G138" s="34">
        <f>G136/((1+$B$11)^5)</f>
        <v>48174027753.443787</v>
      </c>
      <c r="H138" s="34">
        <f>H136/((1+$B$11)^6)</f>
        <v>49204844335.36338</v>
      </c>
      <c r="I138" s="34">
        <f>SUM(B138:H138)</f>
        <v>323496857258.12573</v>
      </c>
      <c r="J138" s="23"/>
      <c r="K138" s="23"/>
      <c r="L138" s="23"/>
    </row>
    <row r="139" spans="1:13" ht="15.75" thickBot="1" x14ac:dyDescent="0.3">
      <c r="A139" s="7" t="s">
        <v>52</v>
      </c>
      <c r="B139" s="8">
        <f>SUM(B138:H138)</f>
        <v>323496857258.12573</v>
      </c>
      <c r="C139" s="44">
        <f>B139-I138</f>
        <v>0</v>
      </c>
      <c r="D139" s="112" t="s">
        <v>105</v>
      </c>
    </row>
    <row r="140" spans="1:13" ht="15.75" thickBot="1" x14ac:dyDescent="0.3">
      <c r="A140" s="110" t="s">
        <v>104</v>
      </c>
      <c r="B140" s="111">
        <f>SUM(B135:H135)</f>
        <v>389788804577.24811</v>
      </c>
      <c r="C140" s="44">
        <f>B140-I135</f>
        <v>0</v>
      </c>
      <c r="D140" s="112" t="s">
        <v>105</v>
      </c>
    </row>
    <row r="141" spans="1:13" ht="15.75" thickBot="1" x14ac:dyDescent="0.3">
      <c r="A141" s="9" t="s">
        <v>35</v>
      </c>
      <c r="B141" s="10">
        <f>I15+I32+I49+I66+I83+I100+I117</f>
        <v>16913898.964200657</v>
      </c>
    </row>
    <row r="142" spans="1:13" ht="15.75" thickBot="1" x14ac:dyDescent="0.3">
      <c r="A142" s="11" t="s">
        <v>114</v>
      </c>
      <c r="B142" s="49">
        <f>B139/B141</f>
        <v>19126.096114374777</v>
      </c>
    </row>
    <row r="144" spans="1:13" ht="15.75" thickBot="1" x14ac:dyDescent="0.3">
      <c r="A144" s="47" t="s">
        <v>68</v>
      </c>
      <c r="B144" s="48">
        <f>B140/B141</f>
        <v>23045.473158037712</v>
      </c>
    </row>
  </sheetData>
  <mergeCells count="1">
    <mergeCell ref="A13:I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
  <sheetViews>
    <sheetView showGridLines="0" workbookViewId="0">
      <selection activeCell="E9" sqref="E9"/>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
  <sheetViews>
    <sheetView showGridLines="0" workbookViewId="0">
      <selection activeCell="Q15" sqref="Q15"/>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(1) PROJECT STATEMENT</vt:lpstr>
      <vt:lpstr>(2) STATEMENT OF WORK</vt:lpstr>
      <vt:lpstr>(3)EXEC. SUMMARY&amp;RECOMMENDATION</vt:lpstr>
      <vt:lpstr>(4) ANALYSIS ASSUMPTIONS</vt:lpstr>
      <vt:lpstr>(5) AnalysisModel-AverageGrowth</vt:lpstr>
      <vt:lpstr>(6) Weak Economy</vt:lpstr>
      <vt:lpstr>(7) Strong Economy</vt:lpstr>
      <vt:lpstr>'(4) ANALYSIS ASSUMPTIONS'!Print_Area</vt:lpstr>
    </vt:vector>
  </TitlesOfParts>
  <Company>MCA SPR 2019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PPS FP&amp;A SPR2019</dc:creator>
  <cp:lastModifiedBy>Tian Deng</cp:lastModifiedBy>
  <cp:lastPrinted>2018-09-09T11:40:35Z</cp:lastPrinted>
  <dcterms:created xsi:type="dcterms:W3CDTF">2016-10-24T21:42:45Z</dcterms:created>
  <dcterms:modified xsi:type="dcterms:W3CDTF">2026-06-25T19:48:47Z</dcterms:modified>
</cp:coreProperties>
</file>